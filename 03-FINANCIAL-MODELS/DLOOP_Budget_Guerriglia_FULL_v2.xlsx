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 — Assumptions" sheetId="1" state="visible" r:id="rId3"/>
    <sheet name="MASTER" sheetId="2" state="visible" r:id="rId4"/>
    <sheet name="A — Ricavi" sheetId="3" state="visible" r:id="rId5"/>
    <sheet name="A.4 — Fee per Ordine" sheetId="4" state="visible" r:id="rId6"/>
    <sheet name="B1 — Infrastruttura" sheetId="5" state="visible" r:id="rId7"/>
    <sheet name="B2 — Servizi" sheetId="6" state="visible" r:id="rId8"/>
    <sheet name="B3 — Marketing" sheetId="7" state="visible" r:id="rId9"/>
    <sheet name="B4 — Personale" sheetId="8" state="visible" r:id="rId10"/>
    <sheet name="B5 — Ammortamenti" sheetId="9" state="visible" r:id="rId11"/>
    <sheet name="B6 — Costi Variabili" sheetId="10" state="visible" r:id="rId12"/>
    <sheet name="C-D — Finanziari" sheetId="11" state="visible" r:id="rId13"/>
    <sheet name="KPI Dashboard" sheetId="12" state="visible" r:id="rId14"/>
    <sheet name="MRR Waterfall" sheetId="13" state="visible" r:id="rId15"/>
    <sheet name="Unit Economics" sheetId="14" state="visible" r:id="rId16"/>
    <sheet name="Budget di Cassa" sheetId="15" state="visible" r:id="rId17"/>
    <sheet name="Stato Patrimoniale" sheetId="16" state="visible" r:id="rId18"/>
  </sheets>
  <definedNames>
    <definedName function="false" hidden="false" localSheetId="2" name="_xlnm.Print_Titles" vbProcedure="false">'A — Ricavi'!$A:$A,'A — Ricavi'!$1:$3</definedName>
    <definedName function="false" hidden="false" localSheetId="4" name="_xlnm.Print_Titles" vbProcedure="false">'B1 — Infrastruttura'!$A:$A,'B1 — Infrastruttura'!$1:$3</definedName>
    <definedName function="false" hidden="false" localSheetId="5" name="_xlnm.Print_Titles" vbProcedure="false">'B2 — Servizi'!$A:$A,'B2 — Servizi'!$1:$3</definedName>
    <definedName function="false" hidden="false" localSheetId="6" name="_xlnm.Print_Titles" vbProcedure="false">'B3 — Marketing'!$A:$A,'B3 — Marketing'!$1:$3</definedName>
    <definedName function="false" hidden="false" localSheetId="7" name="_xlnm.Print_Titles" vbProcedure="false">'B4 — Personale'!$A:$A,'B4 — Personale'!$1:$3</definedName>
    <definedName function="false" hidden="false" localSheetId="8" name="_xlnm.Print_Titles" vbProcedure="false">'B5 — Ammortamenti'!$A:$A,'B5 — Ammortamenti'!$1:$3</definedName>
    <definedName function="false" hidden="false" localSheetId="9" name="_xlnm.Print_Titles" vbProcedure="false">'B6 — Costi Variabili'!$A:$A,'B6 — Costi Variabili'!$1:$3</definedName>
    <definedName function="false" hidden="false" localSheetId="14" name="_xlnm.Print_Titles" vbProcedure="false">'Budget di Cassa'!$A:$A,'Budget di Cassa'!$1:$3</definedName>
    <definedName function="false" hidden="false" localSheetId="10" name="_xlnm.Print_Titles" vbProcedure="false">'C-D — Finanziari'!$A:$A,'C-D — Finanziari'!$1:$3</definedName>
    <definedName function="false" hidden="false" localSheetId="11" name="_xlnm.Print_Titles" vbProcedure="false">'KPI Dashboard'!$A:$A,'KPI Dashboard'!$1:$3</definedName>
    <definedName function="false" hidden="false" localSheetId="1" name="_xlnm.Print_Titles" vbProcedure="false">MASTER!$1:$4</definedName>
    <definedName function="false" hidden="false" localSheetId="12" name="_xlnm.Print_Titles" vbProcedure="false">'MRR Waterfall'!$A:$A,'MRR Waterfall'!$1:$3</definedName>
    <definedName function="false" hidden="false" localSheetId="15" name="_xlnm.Print_Titles" vbProcedure="false">'Stato Patrimoniale'!$A:$A,'Stato Patrimoniale'!$1:$3</definedName>
    <definedName function="false" hidden="false" localSheetId="13" name="_xlnm.Print_Titles" vbProcedure="false">'Unit Economics'!$A:$A,'Unit Economics'!$1:$3</definedName>
    <definedName function="false" hidden="false" localSheetId="2" name="_xlnm.Print_Titles" vbProcedure="false">'A — Ricavi'!$1:$3,'A — Ricavi'!$A:$A</definedName>
    <definedName function="false" hidden="false" localSheetId="4" name="_xlnm.Print_Titles" vbProcedure="false">'B1 — Infrastruttura'!$1:$3,'B1 — Infrastruttura'!$A:$A</definedName>
    <definedName function="false" hidden="false" localSheetId="5" name="_xlnm.Print_Titles" vbProcedure="false">'B2 — Servizi'!$1:$3,'B2 — Servizi'!$A:$A</definedName>
    <definedName function="false" hidden="false" localSheetId="6" name="_xlnm.Print_Titles" vbProcedure="false">'B3 — Marketing'!$1:$3,'B3 — Marketing'!$A:$A</definedName>
    <definedName function="false" hidden="false" localSheetId="7" name="_xlnm.Print_Titles" vbProcedure="false">'B4 — Personale'!$1:$3,'B4 — Personale'!$A:$A</definedName>
    <definedName function="false" hidden="false" localSheetId="8" name="_xlnm.Print_Titles" vbProcedure="false">'B5 — Ammortamenti'!$1:$3,'B5 — Ammortamenti'!$A:$A</definedName>
    <definedName function="false" hidden="false" localSheetId="9" name="_xlnm.Print_Titles" vbProcedure="false">'B6 — Costi Variabili'!$1:$3,'B6 — Costi Variabili'!$A:$A</definedName>
    <definedName function="false" hidden="false" localSheetId="10" name="_xlnm.Print_Titles" vbProcedure="false">'C-D — Finanziari'!$1:$3,'C-D — Finanziari'!$A:$A</definedName>
    <definedName function="false" hidden="false" localSheetId="11" name="_xlnm.Print_Titles" vbProcedure="false">'KPI Dashboard'!$1:$3,'KPI Dashboard'!$A:$A</definedName>
    <definedName function="false" hidden="false" localSheetId="12" name="_xlnm.Print_Titles" vbProcedure="false">'MRR Waterfall'!$1:$3,'MRR Waterfall'!$A:$A</definedName>
    <definedName function="false" hidden="false" localSheetId="13" name="_xlnm.Print_Titles" vbProcedure="false">'Unit Economics'!$1:$3,'Unit Economics'!$A:$A</definedName>
    <definedName function="false" hidden="false" localSheetId="14" name="_xlnm.Print_Titles" vbProcedure="false">'Budget di Cassa'!$1:$3,'Budget di Cassa'!$A:$A</definedName>
    <definedName function="false" hidden="false" localSheetId="15" name="_xlnm.Print_Titles" vbProcedure="false">'Stato Patrimoniale'!$1:$3,'Stato Patrimoniale'!$A:$A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<sst xmlns="http://schemas.openxmlformats.org/spreadsheetml/2006/main" count="862" uniqueCount="528">
  <si>
    <t xml:space="preserve">DLOOP — FOGLIO ASSUNZIONI CENTRALIZZATE  |  Modifica qui, non nei fogli area</t>
  </si>
  <si>
    <t xml:space="preserve">🔵 Celle gialle = input modificabili  │  Tutti i fogli area si aggiorneranno automaticamente  │  Non toccare i fogli area se non per i dati che non sono qui</t>
  </si>
  <si>
    <t xml:space="preserve">Assunzione</t>
  </si>
  <si>
    <t xml:space="preserve">Valore</t>
  </si>
  <si>
    <t xml:space="preserve">Unità</t>
  </si>
  <si>
    <t xml:space="preserve">Fonte / Note</t>
  </si>
  <si>
    <t xml:space="preserve">PRICING SaaS SMB</t>
  </si>
  <si>
    <t xml:space="preserve">Prezzo Starter</t>
  </si>
  <si>
    <t xml:space="preserve">€ 39</t>
  </si>
  <si>
    <t xml:space="preserve">€/mese</t>
  </si>
  <si>
    <t xml:space="preserve">50 ordini/mese inclusi</t>
  </si>
  <si>
    <t xml:space="preserve">Prezzo Pro</t>
  </si>
  <si>
    <t xml:space="preserve">€ 79</t>
  </si>
  <si>
    <t xml:space="preserve">500 ordini/mese inclusi</t>
  </si>
  <si>
    <t xml:space="preserve">Prezzo Enterprise</t>
  </si>
  <si>
    <t xml:space="preserve">€ 149</t>
  </si>
  <si>
    <t xml:space="preserve">Ordini illimitati</t>
  </si>
  <si>
    <t xml:space="preserve">PRICING B2B OPERATOR</t>
  </si>
  <si>
    <t xml:space="preserve">Starter Operator</t>
  </si>
  <si>
    <t xml:space="preserve">€ 99</t>
  </si>
  <si>
    <t xml:space="preserve">500 ordini inclusi, €0.90/extra</t>
  </si>
  <si>
    <t xml:space="preserve">Business Operator</t>
  </si>
  <si>
    <t xml:space="preserve">€ 199</t>
  </si>
  <si>
    <t xml:space="preserve">1.500 ordini inclusi, €0.60/extra — ADV target</t>
  </si>
  <si>
    <t xml:space="preserve">Enterprise Operator</t>
  </si>
  <si>
    <t xml:space="preserve">€ 499</t>
  </si>
  <si>
    <t xml:space="preserve">5.000 ordini inclusi, €0.30/extra</t>
  </si>
  <si>
    <t xml:space="preserve">METRICHE SaaS — CRESCITA</t>
  </si>
  <si>
    <t xml:space="preserve">Churn rate mensile (M1-M6)</t>
  </si>
  <si>
    <t xml:space="preserve">% merchant</t>
  </si>
  <si>
    <t xml:space="preserve">4% early stage. Benchmark: 5-7% startup fase lancio</t>
  </si>
  <si>
    <t xml:space="preserve">Churn rate mensile (M7+)</t>
  </si>
  <si>
    <t xml:space="preserve">2% dopo product-market fit. Target &lt;2%</t>
  </si>
  <si>
    <t xml:space="preserve">Expansion MRR mensile</t>
  </si>
  <si>
    <t xml:space="preserve">% su MRR</t>
  </si>
  <si>
    <t xml:space="preserve">Up-sell Starter→Pro. Benchmark SaaS: 3-5%</t>
  </si>
  <si>
    <t xml:space="preserve">Tasso crescita merchant M1-M6</t>
  </si>
  <si>
    <t xml:space="preserve">media +4</t>
  </si>
  <si>
    <t xml:space="preserve">merchant/mese</t>
  </si>
  <si>
    <t xml:space="preserve">Guerriglia: warm network + outreach diretto</t>
  </si>
  <si>
    <t xml:space="preserve">Tasso crescita merchant M7+</t>
  </si>
  <si>
    <t xml:space="preserve">media +5</t>
  </si>
  <si>
    <t xml:space="preserve">Con Sales BDR attivo da M5</t>
  </si>
  <si>
    <t xml:space="preserve">UNIT ECONOMICS — CAC e LTV</t>
  </si>
  <si>
    <t xml:space="preserve">CAC Guerriglia M1-M4</t>
  </si>
  <si>
    <t xml:space="preserve">€ 45</t>
  </si>
  <si>
    <t xml:space="preserve">€/merchant</t>
  </si>
  <si>
    <t xml:space="preserve">Budget mktg €170 ÷ ~4 nuovi merchant/mese</t>
  </si>
  <si>
    <t xml:space="preserve">CAC M5-M8 (con Sales hire)</t>
  </si>
  <si>
    <t xml:space="preserve">€ 120</t>
  </si>
  <si>
    <t xml:space="preserve">(Sales €1.200 + Ads €200) ÷ ~12 new merchant</t>
  </si>
  <si>
    <t xml:space="preserve">CAC M9+ (a regime)</t>
  </si>
  <si>
    <t xml:space="preserve">€ 85</t>
  </si>
  <si>
    <t xml:space="preserve">Scala con outbound + referral attivi</t>
  </si>
  <si>
    <t xml:space="preserve">Lifetime (durata media cliente)</t>
  </si>
  <si>
    <t xml:space="preserve">mesi</t>
  </si>
  <si>
    <t xml:space="preserve">Con churn 2%/mese. LT = 1/churn = 50 mesi, conservativo 24</t>
  </si>
  <si>
    <t xml:space="preserve">ARPU medio atteso a regime</t>
  </si>
  <si>
    <t xml:space="preserve">Mix tier Starter/Pro/Enterprise</t>
  </si>
  <si>
    <t xml:space="preserve">LTV (ARPU × Lifetime)</t>
  </si>
  <si>
    <t xml:space="preserve">€ 2.880</t>
  </si>
  <si>
    <t xml:space="preserve">€</t>
  </si>
  <si>
    <t xml:space="preserve">€120 × 24 mesi</t>
  </si>
  <si>
    <t xml:space="preserve">LTV:CAC ratio (target &gt;3x)</t>
  </si>
  <si>
    <t xml:space="preserve">x</t>
  </si>
  <si>
    <t xml:space="preserve">€2.880 ÷ €85 CAC regime. Benchmark SaaS: &gt;3x</t>
  </si>
  <si>
    <t xml:space="preserve">CAC Payback Period</t>
  </si>
  <si>
    <t xml:space="preserve">€85 ÷ €120 ARPU × (1-COGS%). Target &lt;18 mesi</t>
  </si>
  <si>
    <t xml:space="preserve">IMPOSTE E FINANZIARI</t>
  </si>
  <si>
    <t xml:space="preserve">IRES</t>
  </si>
  <si>
    <t xml:space="preserve">%</t>
  </si>
  <si>
    <t xml:space="preserve">Imposta sul Reddito delle Società</t>
  </si>
  <si>
    <t xml:space="preserve">IRAP</t>
  </si>
  <si>
    <t xml:space="preserve">Imposta Regionale Attività Produttive</t>
  </si>
  <si>
    <t xml:space="preserve">Aliquota totale</t>
  </si>
  <si>
    <t xml:space="preserve">IRES + IRAP. Solo su EBT &gt; 0</t>
  </si>
  <si>
    <t xml:space="preserve">Tasso interesse conto deposito</t>
  </si>
  <si>
    <t xml:space="preserve">~2.5% annuo su seed investito</t>
  </si>
  <si>
    <t xml:space="preserve">Seed round atteso</t>
  </si>
  <si>
    <t xml:space="preserve">€ 75.000</t>
  </si>
  <si>
    <t xml:space="preserve">Range €50-100K via MoodCapital — ipotesi M3</t>
  </si>
  <si>
    <t xml:space="preserve">Cash runway target</t>
  </si>
  <si>
    <t xml:space="preserve">Con €75K seed. Target ≥15 mesi (FlowCog benchmark)</t>
  </si>
  <si>
    <t xml:space="preserve">COSTI — BENCHMARK VERIFICATI 2025-2026</t>
  </si>
  <si>
    <t xml:space="preserve">Supabase Pro</t>
  </si>
  <si>
    <t xml:space="preserve">$/mese</t>
  </si>
  <si>
    <t xml:space="preserve">piano base. Overage su compute. Fonte: supabase.com/pricing</t>
  </si>
  <si>
    <t xml:space="preserve">Twilio per messaggio</t>
  </si>
  <si>
    <t xml:space="preserve">$/msg</t>
  </si>
  <si>
    <t xml:space="preserve">+ Meta fee. Da lug 2025 pricing per template. Fonte: twilio.com</t>
  </si>
  <si>
    <t xml:space="preserve">Commissione Stripe EU</t>
  </si>
  <si>
    <t xml:space="preserve">1.50%+€0.25</t>
  </si>
  <si>
    <t xml:space="preserve">/transaz</t>
  </si>
  <si>
    <t xml:space="preserve">Carte EU. Fonte: stripe.com/it/pricing</t>
  </si>
  <si>
    <t xml:space="preserve">Commercialista SRL min.</t>
  </si>
  <si>
    <t xml:space="preserve">€ 141.50</t>
  </si>
  <si>
    <t xml:space="preserve">FiscalSky online. Tradiz: €208-416/mese</t>
  </si>
  <si>
    <t xml:space="preserve">Benefits load (P.IVA)</t>
  </si>
  <si>
    <t xml:space="preserve">P.IVA: 0% carico azienda. CEO se dipendente: +25-28%</t>
  </si>
  <si>
    <t xml:space="preserve">BREAK-EVEN E OBIETTIVI</t>
  </si>
  <si>
    <t xml:space="preserve">N. merchant per break-even</t>
  </si>
  <si>
    <t xml:space="preserve">merchant</t>
  </si>
  <si>
    <t xml:space="preserve">M11 target. €13.8K revenue vs €11.6K OpEx</t>
  </si>
  <si>
    <t xml:space="preserve">ARPU break-even</t>
  </si>
  <si>
    <t xml:space="preserve">€ 226</t>
  </si>
  <si>
    <t xml:space="preserve">Mix SMB+B2B. Fonte: pitch deck</t>
  </si>
  <si>
    <t xml:space="preserve">Gross Margin target</t>
  </si>
  <si>
    <t xml:space="preserve">Revenue – Infra – Var. Fonte: pitch deck</t>
  </si>
  <si>
    <t xml:space="preserve">Rule of 40 target</t>
  </si>
  <si>
    <t xml:space="preserve">Growth Rate % + EBITDA Margin %. Standard VC</t>
  </si>
  <si>
    <t xml:space="preserve">DLOOP SRL  —  BUDGET MASTER GUERRIGLIA 18 MESI  (ART. 2425 C.C.)</t>
  </si>
  <si>
    <t xml:space="preserve">🟢 Celle verdi = differenziatori Guerriglia  │  Tutti i valori provengono dai fogli area  │  Non modificare direttamente</t>
  </si>
  <si>
    <t xml:space="preserve">Voce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</si>
  <si>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</si>
  <si>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</si>
  <si>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</si>
  <si>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</si>
  <si>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</si>
  <si>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</si>
  <si>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</si>
  <si>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</si>
  <si>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</si>
  <si>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</si>
  <si>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</si>
  <si>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</si>
  <si>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</si>
  <si>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</si>
  <si>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</si>
  <si>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</si>
  <si>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</si>
  <si>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</si>
  <si>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TOTALE</t>
  </si>
  <si>
    <t xml:space="preserve">Fase ▶</t>
  </si>
  <si>
    <t xml:space="preserve">OUTREACH</t>
  </si>
  <si>
    <t xml:space="preserve">HYBRID</t>
  </si>
  <si>
    <t xml:space="preserve">SCALE</t>
  </si>
  <si>
    <t xml:space="preserve">A)  VALORE DELLA PRODUZIONE</t>
  </si>
  <si>
    <t xml:space="preserve">  A.1  Ricavi SaaS SMB</t>
  </si>
  <si>
    <t xml:space="preserve">  A.2  Ricavi WhatsApp Bot</t>
  </si>
  <si>
    <t xml:space="preserve">  A.3  Ricavi B2B Operator</t>
  </si>
  <si>
    <t xml:space="preserve">TOTALE VALORE PRODUZIONE  (A)  incl. fee ordini</t>
  </si>
  <si>
    <t xml:space="preserve">B)  COSTI DELLA PRODUZIONE</t>
  </si>
  <si>
    <t xml:space="preserve">  B.1  Infrastruttura Cloud &amp; API</t>
  </si>
  <si>
    <t xml:space="preserve">  B.2  Servizi Professionali</t>
  </si>
  <si>
    <t xml:space="preserve">  B.3  Marketing Guerriglia  ★</t>
  </si>
  <si>
    <t xml:space="preserve">  B.4  Personale e Collaboratori</t>
  </si>
  <si>
    <t xml:space="preserve">  B.5  Ammortamenti</t>
  </si>
  <si>
    <t xml:space="preserve">  B.6  Costi Variabili</t>
  </si>
  <si>
    <t xml:space="preserve">TOTALE COSTI PRODUZIONE  (B)</t>
  </si>
  <si>
    <t xml:space="preserve">▶  EBIT  (A – B)</t>
  </si>
  <si>
    <t xml:space="preserve">C/D)  PROVENTI E ONERI FINANZIARI</t>
  </si>
  <si>
    <t xml:space="preserve">  Proventi finanziari  (interessi su seed)</t>
  </si>
  <si>
    <t xml:space="preserve">  Interessi passivi</t>
  </si>
  <si>
    <t xml:space="preserve">RISULTATO ANTE IMPOSTE  (EBT)</t>
  </si>
  <si>
    <t xml:space="preserve">IMPOSTE  (IRES 24% + IRAP 3,9%)</t>
  </si>
  <si>
    <t xml:space="preserve">  Imposte stimate  MAX(0; EBT × 27,9%)</t>
  </si>
  <si>
    <t xml:space="preserve">▶▶  UTILE / PERDITA NETTA</t>
  </si>
  <si>
    <t xml:space="preserve">★ Verde = differenziatori Guerriglia  │  Tutti i valori provengono dai fogli area sottostanti  │  Non modificare le formule su questo foglio — modificare i dati nei fogli area</t>
  </si>
  <si>
    <t xml:space="preserve">A — RICAVI  |  Dettaglio per stream e tier</t>
  </si>
  <si>
    <t xml:space="preserve">🔵 Input blu = modificabili  │  Analisi per tier, ARPU, churn, B2B pipeline</t>
  </si>
  <si>
    <t xml:space="preserve">A.1  RICAVI SaaS SMB — Subscription per Tier</t>
  </si>
  <si>
    <t xml:space="preserve">  Merchant attivi per tier (input)</t>
  </si>
  <si>
    <t xml:space="preserve">    Starter  €39/mese  — n. merchant</t>
  </si>
  <si>
    <t xml:space="preserve">    Pro  €79/mese  — n. merchant</t>
  </si>
  <si>
    <t xml:space="preserve">    Enterprise  €149/mese  — n. merchant</t>
  </si>
  <si>
    <t xml:space="preserve">    Totale merchant attivi</t>
  </si>
  <si>
    <t xml:space="preserve">    Nuovi merchant acquisiti (mese)</t>
  </si>
  <si>
    <t xml:space="preserve">    Churn rate mensile (%)</t>
  </si>
  <si>
    <t xml:space="preserve">  Revenue per tier (formula)</t>
  </si>
  <si>
    <t xml:space="preserve">    Starter  €39 × n</t>
  </si>
  <si>
    <t xml:space="preserve">    Pro  €79 × n</t>
  </si>
  <si>
    <t xml:space="preserve">    Enterprise  €149 × n</t>
  </si>
  <si>
    <t xml:space="preserve">    TOTALE Ricavi SMB (Starter+Pro+Enterprise)</t>
  </si>
  <si>
    <t xml:space="preserve">    ARPU medio  (Rev SMB ÷ Merchant)</t>
  </si>
  <si>
    <t xml:space="preserve">A.2  RICAVI WhatsApp Bot Add-on</t>
  </si>
  <si>
    <t xml:space="preserve">TOTALE A.2  WhatsApp Bot</t>
  </si>
  <si>
    <t xml:space="preserve">  A.2.2  Extra conversazioni  (overflow stimato)</t>
  </si>
  <si>
    <t xml:space="preserve">A.3  RICAVI B2B Operator — Pipeline e Revenue</t>
  </si>
  <si>
    <t xml:space="preserve">  A.3.1  Starter Operator  €99/mese  — n. clienti</t>
  </si>
  <si>
    <t xml:space="preserve">  A.3.2  Business Operator  €199/mese  — n. clienti  [ADV Advertising target]</t>
  </si>
  <si>
    <t xml:space="preserve">  A.3.3  Enterprise Operator  €499/mese  — n. clienti</t>
  </si>
  <si>
    <t xml:space="preserve">TOTALE A.3  B2B Operator</t>
  </si>
  <si>
    <t xml:space="preserve">TOTALE RICAVI  (A)  →  Alimenta il Master</t>
  </si>
  <si>
    <t xml:space="preserve">★  Questo foglio alimenta il Master tramite riferimenti diretti.  Modificare qui i dati merchant/tier, mai nel Master.</t>
  </si>
  <si>
    <t xml:space="preserve">A.4 — RICAVI FEE PER ORDINE  |  Canone base + overage per ordine extra</t>
  </si>
  <si>
    <t xml:space="preserve">Giallo=modificabile  |  Verde=Business Plus NUOVO  |  Switch B5 (B2B) / B6 (SMB)</t>
  </si>
  <si>
    <t xml:space="preserve">⚙️  SWITCH — B5=B2B fee (1=ON) | B6=SMB fee (0=OFF Phase1)</t>
  </si>
  <si>
    <t xml:space="preserve">  Switch B2B fee overage</t>
  </si>
  <si>
    <t xml:space="preserve">1=ON → fee B2B attive.  0=OFF → solo canone flat.</t>
  </si>
  <si>
    <t xml:space="preserve">  Switch SMB fee overage (Phase 2)</t>
  </si>
  <si>
    <t xml:space="preserve">0=Phase1 puro.  1=Phase2 → fee SMB attive.</t>
  </si>
  <si>
    <t xml:space="preserve">📐  PARAMETRI — Pricing confermato  (celle gialle = modificabili)</t>
  </si>
  <si>
    <t xml:space="preserve">  SMB Starter: fee extra/ordine (oltre 50 inclusi)</t>
  </si>
  <si>
    <t xml:space="preserve">€0,80/ord ✓ confermato</t>
  </si>
  <si>
    <t xml:space="preserve">  SMB Pro: fee extra/ordine (oltre 100 inclusi)</t>
  </si>
  <si>
    <t xml:space="preserve">  SMB Enterprise: fee extra/ordine (oltre 250 inclusi)</t>
  </si>
  <si>
    <t xml:space="preserve">€0,50/ord ✓ confermato</t>
  </si>
  <si>
    <t xml:space="preserve">  Soglia SMB Starter (ordini inclusi nel canone)</t>
  </si>
  <si>
    <t xml:space="preserve">50 ordini/mese ✓</t>
  </si>
  <si>
    <t xml:space="preserve">  Soglia SMB Pro (ordini inclusi nel canone)</t>
  </si>
  <si>
    <t xml:space="preserve">100 ordini/mese ✓  (era 500 → CORRETTO!)</t>
  </si>
  <si>
    <t xml:space="preserve">  Soglia SMB Enterprise (ordini inclusi nel canone)</t>
  </si>
  <si>
    <t xml:space="preserve">250 ordini/mese ✓</t>
  </si>
  <si>
    <t xml:space="preserve">  B2B Starter: fee extra/ordine (oltre 500 inclusi)</t>
  </si>
  <si>
    <t xml:space="preserve">€0,90/ord ✓</t>
  </si>
  <si>
    <t xml:space="preserve">  B2B Business: fee extra/ordine (oltre 1.500 inclusi)</t>
  </si>
  <si>
    <t xml:space="preserve">€0,60/ord ✓  −33% vs Starter</t>
  </si>
  <si>
    <t xml:space="preserve">  B2B Business Plus: fee extra/ordine (oltre 3.000) ★</t>
  </si>
  <si>
    <t xml:space="preserve">€0,45/ord ✓  −25% vs Business  NUOVO TIER</t>
  </si>
  <si>
    <t xml:space="preserve">  B2B Enterprise: fee extra/ordine (oltre 5.000 inclusi)</t>
  </si>
  <si>
    <t xml:space="preserve">€0,30/ord ✓  −33% vs Business Plus</t>
  </si>
  <si>
    <t xml:space="preserve">  Soglia B2B Starter (ordini inclusi)</t>
  </si>
  <si>
    <t xml:space="preserve">500 ordini/mese inclusi nel canone</t>
  </si>
  <si>
    <t xml:space="preserve">  Soglia B2B Business (ordini inclusi)</t>
  </si>
  <si>
    <t xml:space="preserve">1.500 ordini/mese inclusi nel canone</t>
  </si>
  <si>
    <t xml:space="preserve">  Soglia B2B Business Plus (ordini inclusi) ★</t>
  </si>
  <si>
    <t xml:space="preserve">3.000 ordini/mese  copre fascia 2K-4K  NUOVO</t>
  </si>
  <si>
    <t xml:space="preserve">💼  B2B OPERATOR — 4 TIER  (canone + overage per ordine extra oltre soglia inclusa)</t>
  </si>
  <si>
    <t xml:space="preserve">    N. clienti B2B Starter attivi</t>
  </si>
  <si>
    <t xml:space="preserve">  A.4.1  B2B Starter  (700−500=200 extra × €0,90 × switch)</t>
  </si>
  <si>
    <t xml:space="preserve">    N. clienti B2B Business attivi</t>
  </si>
  <si>
    <t xml:space="preserve">  A.4.2  B2B Business  (2.000−1.500=500 extra × €0,60 × switch)</t>
  </si>
  <si>
    <t xml:space="preserve">    N. clienti B2B Business Plus attivi  ★NUOVO</t>
  </si>
  <si>
    <t xml:space="preserve">  A.4.3  B2B Business Plus  (4.000−3.000=1.000 extra × €0,45)  ★NUOVO</t>
  </si>
  <si>
    <t xml:space="preserve">    N. clienti B2B Enterprise attivi</t>
  </si>
  <si>
    <t xml:space="preserve">  A.4.4  B2B Enterprise  (7.000−5.000=2.000 extra × €0,30 × switch)</t>
  </si>
  <si>
    <t xml:space="preserve">  SUBTOTALE Fee B2B Operator  (4 tier)</t>
  </si>
  <si>
    <t xml:space="preserve">🛒  SMB  (switch B6=0 → Phase1 puro  |  B6=1 → Phase2 ibrida)</t>
  </si>
  <si>
    <t xml:space="preserve">    N. merchant SMB Starter</t>
  </si>
  <si>
    <t xml:space="preserve">  A.4.5  SMB Starter  (80−50=30 extra × €0,80 × switch B6)  [Phase 2]</t>
  </si>
  <si>
    <t xml:space="preserve">    N. merchant SMB Pro</t>
  </si>
  <si>
    <t xml:space="preserve">  A.4.6  SMB Pro  (200−100=100 extra × €0,80 × switch B6)  [Phase 2]</t>
  </si>
  <si>
    <t xml:space="preserve">  SUBTOTALE Fee SMB  →  €0 mentre switch=0</t>
  </si>
  <si>
    <t xml:space="preserve">TOTALE A.4  Fee per Ordine  →  Alimenta il MASTER</t>
  </si>
  <si>
    <t xml:space="preserve">✅ PRICING CONFERMATO — SMB: €39/50/€0,80 | €79/100/€0,80 | €149/250/€0,50 — B2B: €99/500/€0,90 | €199/1.500/€0,60 | ★€299/3.000/€0,45 | €499/5.000/€0,30</t>
  </si>
  <si>
    <t xml:space="preserve">B1 — INFRASTRUTTURA CLOUD &amp; API  |  Costi verificati vs benchmark mercato 2026</t>
  </si>
  <si>
    <t xml:space="preserve">🔵 Blu = input  │  Benchmark: Supabase Pro $25/mese, Firebase free tier fino 10K MAU, Twilio $0.005/msg</t>
  </si>
  <si>
    <t xml:space="preserve">Supabase  (PostgreSQL + PostGIS + Realtime + Storage)</t>
  </si>
  <si>
    <t xml:space="preserve">  Piano Pro  $25/mese  (base, produzione)  [M1-M3: base plan, scala con volume ordini]</t>
  </si>
  <si>
    <t xml:space="preserve">  Benchmark: Pro Plan $25 + compute overage. Free tier NON usabile in produzione (auto-pause 7gg). Fonte: supabase.com/pricing 2026</t>
  </si>
  <si>
    <t xml:space="preserve">Firebase  (Push notifications, Auth)</t>
  </si>
  <si>
    <t xml:space="preserve">  Spark (free) → Blaze pay-as-you-go  [M1-M2 free tier (10K MAU), da M3 uso marginale]</t>
  </si>
  <si>
    <t xml:space="preserve">  Benchmark: Free tier copre 10K MAU/mese. Spark gratuito M1-M2. Da M3 uso Blaze marginale. Fonte: firebase.google.com/pricing</t>
  </si>
  <si>
    <t xml:space="preserve">Google Maps API  (Geocoding, Routing, Places)</t>
  </si>
  <si>
    <t xml:space="preserve">  API calls  (geocoding ordini + routing rider)  [Da mar 2025: SKU-based, no credit $200 globale]</t>
  </si>
  <si>
    <t xml:space="preserve">  Attenzione: Da marzo 2025 Google ha eliminato il credit $200 mensile globale. SKU-based. A basso volume (M1-M4) stima €60-90. Fonte: scrap.io/google-maps-api 2025</t>
  </si>
  <si>
    <t xml:space="preserve">Twilio / WhatsApp Business API</t>
  </si>
  <si>
    <t xml:space="preserve">  Twilio fee  ($0.005/msg) + Meta template fee  [Da lug 2025: Meta fattura per template. Utility msg free in 24h window]</t>
  </si>
  <si>
    <t xml:space="preserve">  Da luglio 2025 Meta addebita per template message. Utility templates GRATUITI nella finestra 24h. €20 M1 = ~4.000 messaggi. Fonte: twilio.com/whatsapp/pricing</t>
  </si>
  <si>
    <t xml:space="preserve">Dev Tools  (GitHub, CI/CD, monitoring, domini)</t>
  </si>
  <si>
    <t xml:space="preserve">  GitHub Teams + Vercel/Railway + dominio + monitoring</t>
  </si>
  <si>
    <t xml:space="preserve">TOTALE B1  Infrastruttura  →  Alimenta il Master</t>
  </si>
  <si>
    <t xml:space="preserve">★  Tutti i costi sono stati verificati vs benchmark reali 2025/2026. Fonte per ogni voce indicata sopra.</t>
  </si>
  <si>
    <t xml:space="preserve">B2 — SERVIZI PROFESSIONALI &amp; CONFORMITÀ  |  Costi verificati vs mercato Italia 2026</t>
  </si>
  <si>
    <t xml:space="preserve">🔵 Blu = input  │  Commercialista SRL: €141-250/mese. Iubenda: €9/mese. Stripe EU: 1,5%+€0,25</t>
  </si>
  <si>
    <t xml:space="preserve">Commercialista / CAF  — Contabilità SRL ordinaria</t>
  </si>
  <si>
    <t xml:space="preserve">  Tenuta contabilità ordinaria  (SRL — obbligatoria)  [€150/mese → €325/mese con crescita volume fatture]</t>
  </si>
  <si>
    <t xml:space="preserve">  Benchmark: SRL online da €141,50/mese (FiscalSky). Tradizionale €2.500-5.000/anno = €208-416/mese. Fonte: commercialista-startup.it, soluzionetasse.com 2026</t>
  </si>
  <si>
    <t xml:space="preserve">Consulenza Legale  — GDPR, Contratti, TOS</t>
  </si>
  <si>
    <t xml:space="preserve">  Consulenze spot  (contratti rider P.IVA, GDPR, TOS BlaBlaCar-style)  [€50-€220/mese. Setup iniziale GDPR/TOS una tantum]</t>
  </si>
  <si>
    <t xml:space="preserve">  Note: Setup iniziale privacy/TOS (Iubenda + avvocato) ~€500-1.500 una tantum già sostenuto. Mensile = solo consulenze spot. Fonte: lexdo.it 2025</t>
  </si>
  <si>
    <t xml:space="preserve">Iubenda  — Privacy Policy, Cookie Law, TOS</t>
  </si>
  <si>
    <t xml:space="preserve">  Piano Essential  €129/anno = €10,75/mese  [Benchmark verificato: iubenda.com/pricing]</t>
  </si>
  <si>
    <t xml:space="preserve">Commissioni Gateway Stripe  — Elaborazione Pagamenti</t>
  </si>
  <si>
    <t xml:space="preserve">  Fee mensili gateway  (1,5%+€0,25/transaz EU + fee flat)  [A regime: % su pagamenti subscription merchants. Cresce con volume.]</t>
  </si>
  <si>
    <t xml:space="preserve">  Stripe EU: 1,5% + €0,25/transazione (carte EU). Su €1.000 MRR = €15+oneri fissi. Fonte: stripe.com/it/pricing</t>
  </si>
  <si>
    <t xml:space="preserve">Costi fissi annuali SRL  (quota mensile)</t>
  </si>
  <si>
    <t xml:space="preserve">  Diritto camerale + vidimazione libri sociali  (€309+€200/anno ÷ 12)  [€519/anno = €43/mese. Fisso indipendente dal fatturato.]</t>
  </si>
  <si>
    <t xml:space="preserve">TOTALE B2  Servizi  →  Alimenta il Master</t>
  </si>
  <si>
    <t xml:space="preserve">B3 — MARKETING GUERRIGLIA  ★  |  Zero paid ads M1-M4  —  CEO fa outreach diretto</t>
  </si>
  <si>
    <t xml:space="preserve">🟢 Verde = differenziatori vs Conservative/Normal  │  Benchmark: 8% ARR mediana B2B SaaS (SaaS Capital 2025)</t>
  </si>
  <si>
    <t xml:space="preserve">STRATEGIA GUERRIGLIA: M1-M4 = ZERO Google Ads, ZERO Meta Ads. Solo outreach diretto (CEO), social organico gratuito, micro-boost €80-100/mese e materiali fisici. Paid ads solo da M5 come supporto al Sales hire.</t>
  </si>
  <si>
    <t xml:space="preserve">🚫  PAID ADS  — Zero M1-M4, piccolo budget da M5  ★ GUERRIGLIA</t>
  </si>
  <si>
    <t xml:space="preserve">  Google Ads  (ZERO M1-M4  —  €150 da M5, scala gradualmente)  ★  [Benchmark: 8% ARR da M5]</t>
  </si>
  <si>
    <t xml:space="preserve">  Conservative spende €200+ da M1, Normal €350+ da M1. Guerriglia: €0 per 4 mesi → risparmio ~€1.400 vs Conservative</t>
  </si>
  <si>
    <t xml:space="preserve">📱  SOCIAL MEDIA  — Organico gratuito + micro-boost  ★ GUERRIGLIA</t>
  </si>
  <si>
    <t xml:space="preserve">  Social Boost  (€80-100 post sponsorizzati mirati  —  solo M1-M4)  ★  [Solo M1-M4, poi organico puro]</t>
  </si>
  <si>
    <t xml:space="preserve">  Social Organico  (CEO + team  —  COSTO ZERO)  ★  [€0 — post, storie, gruppi WhatsApp di categoria delivery]</t>
  </si>
  <si>
    <t xml:space="preserve">🤝  OUTREACH DIRETTO  — Cuore del Guerriglia  ★ GUERRIGLIA</t>
  </si>
  <si>
    <t xml:space="preserve">  Materiali outreach  (biglietti da visita, demo kit, telefonate, trasferte Campania)  ★  [Costo principale M1-M4 del budget Guerriglia]</t>
  </si>
  <si>
    <t xml:space="preserve">  CEO chiama direttamente i contatti: Mario Cucciolito + rete personale + gruppi WhatsApp merchant Napoli/Caserta. Costo = spostamenti, materiali, caffè.</t>
  </si>
  <si>
    <t xml:space="preserve">🎙️  PR &amp; EVENTI LOCALI  — Networking fisico  ★ GUERRIGLIA</t>
  </si>
  <si>
    <t xml:space="preserve">  Fiere locali, eventi Confartigianato/CNA, networking Pomigliano d'Arco / NA  ★  [Costo basso, alto ritorno relazionale]</t>
  </si>
  <si>
    <t xml:space="preserve">📊  KPI MARKETING GUERRIGLIA</t>
  </si>
  <si>
    <t xml:space="preserve">  CAC stimato  (Budget mktg ÷ nuovi merchant stimati)</t>
  </si>
  <si>
    <t xml:space="preserve">AVG</t>
  </si>
  <si>
    <t xml:space="preserve">  % Marketing su Revenue  (benchmark: 8% ARR mediana B2B SaaS)</t>
  </si>
  <si>
    <t xml:space="preserve">📅  PIANO ATTIVITÀ MENSILE  (note operative)</t>
  </si>
  <si>
    <t xml:space="preserve">M1-M2</t>
  </si>
  <si>
    <t xml:space="preserve">CEO outreach 1:1 coi contatti caldi (Mario Cucciolito + 3-4 altri). Post organici 3x/settimana. Biglietti da visita.</t>
  </si>
  <si>
    <t xml:space="preserve">M3-M4</t>
  </si>
  <si>
    <t xml:space="preserve">Allarga outreach a gruppi WhatsApp merchant Campania. Primo evento locale. Social boost €80-100 su post specifici.</t>
  </si>
  <si>
    <t xml:space="preserve">M5-M6</t>
  </si>
  <si>
    <t xml:space="preserve">Sales hire entra: passa il testimone CEO→Sales per SMB. Inizia Google Ads €150/mese targeting delivery Napoli.</t>
  </si>
  <si>
    <t xml:space="preserve">M7-M9</t>
  </si>
  <si>
    <t xml:space="preserve">Mktg Execution gestisce Ads + organico. CEO si concentra su B2B enterprise e fundraising. PR su media locali.</t>
  </si>
  <si>
    <t xml:space="preserve">M10-M18</t>
  </si>
  <si>
    <t xml:space="preserve">Budget ads scala gradualmente con revenue. Mix paid/organico. Referral program merchant attivi. Case study ADV.</t>
  </si>
  <si>
    <t xml:space="preserve">TOTALE B3  Marketing Guerriglia  ★  →  Alimenta il Master</t>
  </si>
  <si>
    <t xml:space="preserve">B4 — PERSONALE &amp; COLLABORATORI  |  7 figure — Hiring progressivo Guerriglia</t>
  </si>
  <si>
    <t xml:space="preserve">🟢 Verde = figure con ruolo differenziatore Guerriglia  │  CEO fa sales M1-M4  │  Sales da M5 (vs M8 Conservative)</t>
  </si>
  <si>
    <t xml:space="preserve">GUERRIGLIA: CEO copre acquisizione merchant M1-M4 con outreach diretto (costo=compenso CEO già incluso). Sales hire da M5, non M8 come nel Conservative.</t>
  </si>
  <si>
    <t xml:space="preserve">👤  CEO — Crescenzo Amodio  ★ GUERRIGLIA  (fa sales M1-M4)</t>
  </si>
  <si>
    <t xml:space="preserve">  Compenso mensile  (include funzione sales M1-M4 — no costo aggiuntivo)  ★  [€2K lancio → €3.5K scale-up]</t>
  </si>
  <si>
    <t xml:space="preserve">  Benchmark: Founder CEO seed stage Italia €1.5K-2.5K. €2K è nella media. Funzione sales inclusa senza sovrapprezzo = vantaggio Guerriglia.</t>
  </si>
  <si>
    <t xml:space="preserve">👤  CTO / Dev Lead — Saba  (P.IVA autonomo)</t>
  </si>
  <si>
    <t xml:space="preserve">  Compenso collaborazione  P.IVA  (Flutter + Supabase + PostGIS)  [€1.5K → €3K. Benchmark: Dev Flutter senior Sud Italia €1.2K-2K P.IVA]</t>
  </si>
  <si>
    <t xml:space="preserve">👤  Dev Junior  (P.IVA, da M7)</t>
  </si>
  <si>
    <t xml:space="preserve">  Supporto sviluppo  (bug fix, feature minori, WhatsApp bot)  [€0 M1-M6, poi €1K → €1.5K. Anticipo vs Conservative M9.]</t>
  </si>
  <si>
    <t xml:space="preserve">👤  Customer Success / Onboarding Merchant  (da M4)</t>
  </si>
  <si>
    <t xml:space="preserve">  Onboarding, ticket merchant, supporto rider setup  [€900 da M4. Benchmark: CS junior Sud Italia €700-1.000]</t>
  </si>
  <si>
    <t xml:space="preserve">👤  Back Office / Amministrazione  (da M6)</t>
  </si>
  <si>
    <t xml:space="preserve">  Fatture P.IVA rider, riconciliazioni Stripe, supporto commercialista  [€700 da M6. Cresce con volume transazioni.]</t>
  </si>
  <si>
    <t xml:space="preserve">👤  Sales / BDR  ★ GUERRIGLIA  (da M5 — 3 mesi prima del Conservative)</t>
  </si>
  <si>
    <t xml:space="preserve">  Acquisizione merchant SMB + B2B outreach  (CEO passa il testimone)  ★  [€1.2K da M5 → €2K. Conservative lo assume a M8.]</t>
  </si>
  <si>
    <t xml:space="preserve">  Guerriglia: CEO fa sales M1-M4 direttamente. Da M5 entra Sales/BDR e CEO si concentra su fundraising + B2B enterprise. Conservative invece aspetta M8.</t>
  </si>
  <si>
    <t xml:space="preserve">👤  Marketing Execution  (da M4)</t>
  </si>
  <si>
    <t xml:space="preserve">  Gestione Google Ads, social organico, content, lead gen  [€600 da M4 → €1K. Coordina con B3 Marketing.]</t>
  </si>
  <si>
    <t xml:space="preserve">📊  KPI PERSONALE</t>
  </si>
  <si>
    <t xml:space="preserve">  N. figure attive nel mese</t>
  </si>
  <si>
    <t xml:space="preserve">  % Personale su Costi totali  (benchmark SaaS: 40-60%)</t>
  </si>
  <si>
    <t xml:space="preserve">📋  SCHEDA FIGURE — Riepilogo compensi e note contrattuali</t>
  </si>
  <si>
    <t xml:space="preserve">CEO Crescenzo</t>
  </si>
  <si>
    <t xml:space="preserve">P.IVA / Amm. unico</t>
  </si>
  <si>
    <t xml:space="preserve">€2.000</t>
  </si>
  <si>
    <t xml:space="preserve">€3.500</t>
  </si>
  <si>
    <t xml:space="preserve">Incluso ruolo sales M1-M4. Aumenta con funding.</t>
  </si>
  <si>
    <t xml:space="preserve">🟢</t>
  </si>
  <si>
    <t xml:space="preserve">CTO Saba</t>
  </si>
  <si>
    <t xml:space="preserve">P.IVA autonomo</t>
  </si>
  <si>
    <t xml:space="preserve">€1.500</t>
  </si>
  <si>
    <t xml:space="preserve">€3.000</t>
  </si>
  <si>
    <t xml:space="preserve">Nessuna subordinazione. Invoicing mensile.</t>
  </si>
  <si>
    <t xml:space="preserve">Dev Junior</t>
  </si>
  <si>
    <t xml:space="preserve">€1.000</t>
  </si>
  <si>
    <t xml:space="preserve">20h/mese. Escalation se prodotto scala.</t>
  </si>
  <si>
    <t xml:space="preserve">Customer Success</t>
  </si>
  <si>
    <t xml:space="preserve">P.IVA o assunzione</t>
  </si>
  <si>
    <t xml:space="preserve">€900</t>
  </si>
  <si>
    <t xml:space="preserve">Onboarding + ticket. Part-time iniziale.</t>
  </si>
  <si>
    <t xml:space="preserve">Back Office / Amm.</t>
  </si>
  <si>
    <t xml:space="preserve">P.IVA o part-time</t>
  </si>
  <si>
    <t xml:space="preserve">€700</t>
  </si>
  <si>
    <t xml:space="preserve">Fatture rider, Stripe, supporto comm.</t>
  </si>
  <si>
    <t xml:space="preserve">Sales / BDR</t>
  </si>
  <si>
    <t xml:space="preserve">P.IVA + variabile</t>
  </si>
  <si>
    <t xml:space="preserve">€1.200</t>
  </si>
  <si>
    <t xml:space="preserve">Fisso + 5-10% commissione merchant acquisito.</t>
  </si>
  <si>
    <t xml:space="preserve">Mktg Execution</t>
  </si>
  <si>
    <t xml:space="preserve">P.IVA</t>
  </si>
  <si>
    <t xml:space="preserve">€600</t>
  </si>
  <si>
    <t xml:space="preserve">Ads, social, content. Coordina con CEO.</t>
  </si>
  <si>
    <t xml:space="preserve">TOTALE B4  Personale  →  Alimenta il Master</t>
  </si>
  <si>
    <t xml:space="preserve">B5 — AMMORTAMENTI  |  Piano di ammortamento beni immateriali capitalizzati</t>
  </si>
  <si>
    <t xml:space="preserve">🔵 Blu = input  │  Quota mensile costante (metodo a quote costanti)  │  Durata tipica SW: 3 anni (DPR 917/86)</t>
  </si>
  <si>
    <t xml:space="preserve">Ammortamento beni immateriali (sviluppo app, setup infra): quota costante 3 anni = 33,33%/anno. OIC 24 / IAS 38 compatibile.</t>
  </si>
  <si>
    <t xml:space="preserve">Flutter App  — Sviluppo capitalizzato</t>
  </si>
  <si>
    <t xml:space="preserve">  Costo capitalizzato stimato  (sviluppo prototipo Rider App)  [Stima: €5.400 capitalizzati (Saba 6 mesi × €900)]</t>
  </si>
  <si>
    <t xml:space="preserve">  Durata ammortamento  (mesi)  [3 anni = 36 mesi]</t>
  </si>
  <si>
    <t xml:space="preserve">  Quota mensile  (€5.400 ÷ 36)  [€150/mese]</t>
  </si>
  <si>
    <t xml:space="preserve">Infrastruttura iniziale  — Setup &amp; configurazione capitalizzata</t>
  </si>
  <si>
    <t xml:space="preserve">  Costo capitalizzato  (setup Supabase schema, PostGIS, CI/CD)  [Stima: €1.800]</t>
  </si>
  <si>
    <t xml:space="preserve">  Durata ammortamento  (mesi)</t>
  </si>
  <si>
    <t xml:space="preserve">  Quota mensile  (€1.800 ÷ 36)  [€50/mese]</t>
  </si>
  <si>
    <t xml:space="preserve">TOTALE B5  Ammortamenti  →  Alimenta il Master</t>
  </si>
  <si>
    <t xml:space="preserve">Nota OIC/IRAP: Gli ammortamenti sono costi di competenza — non uscite di cassa. Il budget di cassa deve escluderli e sostituirli con i flussi effettivi di investimento.</t>
  </si>
  <si>
    <t xml:space="preserve">B6 — COSTI VARIABILI PER ORDINE  |  Scalano con volume ordini elaborati</t>
  </si>
  <si>
    <t xml:space="preserve">🔵 Blu = input  │  Scala linearmente con n. ordini  │  Margine per ordine: ~40% (Stripe + hosting = €0.36/ordine)</t>
  </si>
  <si>
    <t xml:space="preserve">Benchmark: Costo elaborazione ordine Dloop = €0.36/ordine (hosting €0.05 + DB €0.02 + Maps €0.03 + notifiche €0.01 + support €0.10 + dev €0.15). Fee Stripe: 1.5%+€0.25.</t>
  </si>
  <si>
    <t xml:space="preserve">Volume ordini stimato  (input chiave)</t>
  </si>
  <si>
    <t xml:space="preserve">  N. ordini mensili stimati  (media: 50 ordini/merchant/mese)  [Ipotesi: 50 ordini/mese per merchant attivo]</t>
  </si>
  <si>
    <t xml:space="preserve">  Costo medio per ordine  (hosting + DB + notifiche)  [€0.36/ordine = benchmark Dloop pitch deck]</t>
  </si>
  <si>
    <t xml:space="preserve">Costi elaborazione ordini</t>
  </si>
  <si>
    <t xml:space="preserve">  B.6.1  Hosting per-ordine  (DB ops, API calls, notifiche push)  [Cresce con n. merchant × ordini]</t>
  </si>
  <si>
    <t xml:space="preserve">  B.6.2  Commissioni transazione Stripe  (1.5%+€0.25 per pagamento)  [Su pagamenti subscription mensili + eventuali fee extra]</t>
  </si>
  <si>
    <t xml:space="preserve">Analisi margine per ordine</t>
  </si>
  <si>
    <t xml:space="preserve">  Costo effettivo per ordine  (B.6 totale ÷ n. ordini)</t>
  </si>
  <si>
    <t xml:space="preserve">€/ord</t>
  </si>
  <si>
    <t xml:space="preserve">TOTALE B6  Costi Variabili  →  Alimenta il Master</t>
  </si>
  <si>
    <t xml:space="preserve">C/D — PROVENTI &amp; ONERI FINANZIARI  |  Gestione seed round e cash</t>
  </si>
  <si>
    <t xml:space="preserve">🔵 Blu = input  │  Seed round €50-100K via MoodCapital  │  Runway 15-16 mesi</t>
  </si>
  <si>
    <t xml:space="preserve">D)  Proventi finanziari  (interessi attivi su seed)</t>
  </si>
  <si>
    <t xml:space="preserve">  Seed round ricevuto  (€50-100K — ipotesi €75K a M3)  [Una tantum M3 — input principale]</t>
  </si>
  <si>
    <t xml:space="preserve">  Tasso interesse annuo su conto deposito  (%)  [~2.5% annuo conto deposito vincolato]</t>
  </si>
  <si>
    <t xml:space="preserve">  Saldo seed residuo stimato  (indicativo)  [Indicativo — vedi foglio cash flow]</t>
  </si>
  <si>
    <t xml:space="preserve">  Proventi finanziari mensili  (interessi attivi)  [Da M4: €50-150/mese da seed investito]</t>
  </si>
  <si>
    <t xml:space="preserve">C)  Oneri finanziari  (interessi passivi)</t>
  </si>
  <si>
    <t xml:space="preserve">  Interessi passivi  (nessun debito bancario previsto)  [€0 — modello equity-only. Eventuale Stripe Capital futuro.]</t>
  </si>
  <si>
    <t xml:space="preserve">Modello finanziario: pure equity (seed). Nessun debito bancario pianificato. Eventuale Stripe Capital (revenue-based financing) da valutare post M12.</t>
  </si>
  <si>
    <t xml:space="preserve">📊  KPI Cash &amp; Runway</t>
  </si>
  <si>
    <t xml:space="preserve">  Burn netto mensile  (Costi – Revenue, se negativo)  [Zero = break-even o profittabile]</t>
  </si>
  <si>
    <t xml:space="preserve">  Runway stimato  (mesi rimanenti con €75K seed)  [Target: ≥15 mesi]</t>
  </si>
  <si>
    <t xml:space="preserve">KPI DASHBOARD  |  Cruscotto indicatori chiave — tutti alimentati dai fogli area</t>
  </si>
  <si>
    <t xml:space="preserve">Formule cross-foglio  │  Non modificare  │  Aggiornamento automatico al cambio degli input nei fogli area</t>
  </si>
  <si>
    <t xml:space="preserve">── RICAVI</t>
  </si>
  <si>
    <t xml:space="preserve">Revenue mensile totale</t>
  </si>
  <si>
    <t xml:space="preserve">Revenue cumulativa</t>
  </si>
  <si>
    <t xml:space="preserve">MRR SaaS SMB</t>
  </si>
  <si>
    <t xml:space="preserve">Revenue WhatsApp Bot</t>
  </si>
  <si>
    <t xml:space="preserve">Revenue B2B Operator</t>
  </si>
  <si>
    <t xml:space="preserve">── MERCHANT</t>
  </si>
  <si>
    <t xml:space="preserve">N. merchant totali</t>
  </si>
  <si>
    <t xml:space="preserve">ARPU medio</t>
  </si>
  <si>
    <t xml:space="preserve">── COSTI</t>
  </si>
  <si>
    <t xml:space="preserve">Totale costi mensili (B)</t>
  </si>
  <si>
    <t xml:space="preserve">Personale</t>
  </si>
  <si>
    <t xml:space="preserve">Marketing ★ Guerriglia</t>
  </si>
  <si>
    <t xml:space="preserve">Infrastruttura</t>
  </si>
  <si>
    <t xml:space="preserve">── RISULTATI</t>
  </si>
  <si>
    <t xml:space="preserve">EBIT mensile</t>
  </si>
  <si>
    <t xml:space="preserve">EBT mensile</t>
  </si>
  <si>
    <t xml:space="preserve">Utile / Perdita netta</t>
  </si>
  <si>
    <t xml:space="preserve">── PERCENTUALI</t>
  </si>
  <si>
    <t xml:space="preserve">Gross Margin %</t>
  </si>
  <si>
    <t xml:space="preserve">Marketing % su Revenue ★</t>
  </si>
  <si>
    <t xml:space="preserve">Personale % su Costi</t>
  </si>
  <si>
    <t xml:space="preserve">EBIT Margin %</t>
  </si>
  <si>
    <t xml:space="preserve">★  Verde = KPI differenziatori Guerriglia. Tutti i valori si aggiornano automaticamente modificando gli input nei fogli area.</t>
  </si>
  <si>
    <t xml:space="preserve">MRR WATERFALL  |  New · Expansion · Churn · Net New MRR — Salute della crescita SaaS</t>
  </si>
  <si>
    <t xml:space="preserve">Standard VC: New MRR + Expansion MRR − Churn MRR − Downgrade MRR = Net New MRR | NRR = (MRR inizio + Exp − Down − Churn) / MRR inizio</t>
  </si>
  <si>
    <t xml:space="preserve">MRR DI APERTURA E MOVIMENTI MENSILI</t>
  </si>
  <si>
    <t xml:space="preserve">  MRR apertura mese  [= MRR chiusura mese precedente]</t>
  </si>
  <si>
    <t xml:space="preserve">  New MRR  (nuovi merchant × ARPU medio)  [Guerriglia: warm network M1, Sales da M5]</t>
  </si>
  <si>
    <t xml:space="preserve">  Expansion MRR  (up-sell Starter→Pro, Pro→Enterprise ~3%/mese)  [Benchmark SaaS: 3-5% expansion/mese]</t>
  </si>
  <si>
    <t xml:space="preserve">  Churn MRR  (perdita da cancellazioni — 4% M1-M6, 2% M7+)  [Target &lt;2% dopo PMF. Benchmark early stage: 4-7%]</t>
  </si>
  <si>
    <t xml:space="preserve">  Downgrade MRR  (tier downgrade Enterprise→Pro, stima 0.5%)</t>
  </si>
  <si>
    <t xml:space="preserve">Net New MRR  (New + Exp − Churn − Down)</t>
  </si>
  <si>
    <t xml:space="preserve">  MRR chiusura mese  (Apertura + Net New)</t>
  </si>
  <si>
    <t xml:space="preserve">  ✓ Cross-check vs foglio Ricavi  (deve essere ≈0)</t>
  </si>
  <si>
    <t xml:space="preserve">Verifica</t>
  </si>
  <si>
    <t xml:space="preserve">NRR — NET REVENUE RETENTION  (benchmark SaaS: &gt;100% = crescita da base esistente)</t>
  </si>
  <si>
    <t xml:space="preserve">  NRR mensile  (MRR chiusura ÷ MRR apertura)</t>
  </si>
  <si>
    <t xml:space="preserve">Benchmark NRR: &lt;80% = problema churn grave  │  80-100% = normale early stage  │  &gt;100% = expansion supera churn (eccellente)  │  Target Dloop a regime: &gt;95%</t>
  </si>
  <si>
    <t xml:space="preserve">ARR — ANNUAL RECURRING REVENUE</t>
  </si>
  <si>
    <t xml:space="preserve">  ARR mensile  (MRR × 12)</t>
  </si>
  <si>
    <t xml:space="preserve">  ARR Growth MoM  (%)</t>
  </si>
  <si>
    <t xml:space="preserve">COHORT RETENTION SEMPLIFICATA  (% merchant che rimane attivo)</t>
  </si>
  <si>
    <t xml:space="preserve">  Coorte Acq. M1  — retention % mensile  (churn 4%/mese)  [Dopo 18 mesi: 50.0% retention]</t>
  </si>
  <si>
    <t xml:space="preserve">  Coorte Acq. M2  — retention % mensile  (churn 4%/mese)  [Dopo 18 mesi: 52.0% retention]</t>
  </si>
  <si>
    <t xml:space="preserve">  Coorte Acq. M3  — retention % mensile  (churn 4%/mese)  [Dopo 18 mesi: 54.2% retention]</t>
  </si>
  <si>
    <t xml:space="preserve">  Coorte Acq. M4  — retention % mensile  (churn 3%/mese)  [Dopo 18 mesi: 65.3% retention]</t>
  </si>
  <si>
    <t xml:space="preserve">  Coorte Acq. M5  — retention % mensile  (churn 3%/mese)  [Dopo 18 mesi: 67.3% retention]</t>
  </si>
  <si>
    <t xml:space="preserve">  Coorte Acq. M6  — retention % mensile  (churn 3%/mese)  [Dopo 18 mesi: 69.4% retention]</t>
  </si>
  <si>
    <t xml:space="preserve">Benchmark SaaS early stage: retention mese 3 &gt; 75%, mese 12 &gt; 50%  │  FlowCog: 'raise retention of future cohorts — product improvements mean new customers stick longer'</t>
  </si>
  <si>
    <t xml:space="preserve">UNIT ECONOMICS  |  CAC · LTV · Payback · Rule of 40 · Magic Number</t>
  </si>
  <si>
    <t xml:space="preserve">Metriche chiave per MoodCapital  │  Benchmark: LTV:CAC &gt;3x, Payback &lt;18 mesi, Rule of 40 ≥40%</t>
  </si>
  <si>
    <t xml:space="preserve">CAC — CUSTOMER ACQUISITION COST</t>
  </si>
  <si>
    <t xml:space="preserve">  Costi Sales &amp; Marketing mensili  (B3 + Sales hire + Mktg Exec)  [Questi sono i costi che generano nuovi merchant]</t>
  </si>
  <si>
    <t xml:space="preserve">  Nuovi merchant acquisiti nel mese</t>
  </si>
  <si>
    <t xml:space="preserve">  CAC  =  Costi S&amp;M ÷ Nuovi merchant</t>
  </si>
  <si>
    <t xml:space="preserve">CAC Guerriglia M1-M4: ~€45 (zero ads, solo materiali €170 ÷ ~4 new merchant)  │  CAC M5+: sale con Sales hire ma si recupera con volume  │  Target a regime: &lt;€90. Benchmark SaaS B2B early: €50-200</t>
  </si>
  <si>
    <t xml:space="preserve">LTV — LIFETIME VALUE</t>
  </si>
  <si>
    <t xml:space="preserve">  ARPU mensile  (Revenue totale ÷ Merchant attivi)  [Formula — alimentato da foglio Ricavi]</t>
  </si>
  <si>
    <t xml:space="preserve">  Churn rate mensile  (%)  [4% M1-M6, 2% M7+. In linea con Assumptions]</t>
  </si>
  <si>
    <t xml:space="preserve">  Lifetime  =  1 ÷ Churn rate  (mesi)</t>
  </si>
  <si>
    <t xml:space="preserve">  LTV  =  ARPU × Lifetime  (€)</t>
  </si>
  <si>
    <t xml:space="preserve">LTV:CAC RATIO  (target &gt;3x — richiesto da ogni investitore)</t>
  </si>
  <si>
    <t xml:space="preserve">  LTV:CAC Ratio  (semaforo: &lt;3x = rosso, 3-5x = verde, &gt;5x = ottimo)</t>
  </si>
  <si>
    <t xml:space="preserve">Benchmark SaaS Capital 2025: LTV:CAC &lt;1x = brucia liquidità, 1-3x = accettabile, &gt;3x = sano, &gt;5x = eccellente  │  SaaS B2B early stage mediana: ~2.5x (lavoriamo per migliorarlo)</t>
  </si>
  <si>
    <t xml:space="preserve">CAC PAYBACK PERIOD  (mesi per recuperare il costo di acquisizione)</t>
  </si>
  <si>
    <t xml:space="preserve">  Gross Profit per merchant/mese  (ARPU − quota infra/var per merchant)</t>
  </si>
  <si>
    <t xml:space="preserve">  CAC Payback  =  CAC ÷ Gross Profit/merchant  (mesi)</t>
  </si>
  <si>
    <t xml:space="preserve">Benchmark: &lt;12 mesi = eccellente, 12-18 mesi = buono, &gt;24 mesi = preoccupante  │  VCCorner 2025: 'adjust churn by 1% and see how many months of runway you lose'</t>
  </si>
  <si>
    <t xml:space="preserve">RULE OF 40  (Growth Rate % + EBITDA Margin % ≥ 40%)</t>
  </si>
  <si>
    <t xml:space="preserve">  Revenue Growth MoM %</t>
  </si>
  <si>
    <t xml:space="preserve">  EBITDA Margin %  (EBIT ÷ Revenue)</t>
  </si>
  <si>
    <t xml:space="preserve">  Rule of 40  =  Growth % + EBITDA Margin %</t>
  </si>
  <si>
    <t xml:space="preserve">Rule of 40: target ≥40%. Nelle fasi di lancio è normale essere sotto — conta la traiettoria  │  Coefficient 2025: 'Rule of 40 è una delle metriche chiave che ogni investitore SaaS monitora'</t>
  </si>
  <si>
    <t xml:space="preserve">MAGIC NUMBER  (efficienza del go-to-market)</t>
  </si>
  <si>
    <t xml:space="preserve">  Magic Number  =  Net New ARR ÷ S&amp;M costi trimestre precedente</t>
  </si>
  <si>
    <t xml:space="preserve">Magic Number benchmark: &lt;0.5x = inefficiente, 0.5-1x = accettabile, &gt;1x = ottimo go-to-market  │  VCCorner: 'Magic Number misura quanto revenue generi per ogni € speso in S&amp;M'</t>
  </si>
  <si>
    <t xml:space="preserve">BUDGET DI CASSA  |  Cash Flow Statement — Metodo Indiretto (art. 2425-ter c.c.)</t>
  </si>
  <si>
    <t xml:space="preserve">P&amp;L (competenza) → +/− variazioni capitale circolante + investimenti + finanziamenti = Flusso di cassa netto</t>
  </si>
  <si>
    <t xml:space="preserve">A)  FLUSSO DI CASSA DA ATTIVITÀ OPERATIVE</t>
  </si>
  <si>
    <t xml:space="preserve">  Utile / Perdita netta  (da MASTER foglio P&amp;L)</t>
  </si>
  <si>
    <t xml:space="preserve">  Rettifiche per voci non monetarie:</t>
  </si>
  <si>
    <t xml:space="preserve">  + Ammortamenti  (costo di competenza, non uscita cassa)</t>
  </si>
  <si>
    <t xml:space="preserve">  − Variazione crediti vs clienti  (subscription: incasso ~immediato, B2B 30gg)  [SaaS SMB incasso immediato (Stripe). B2B Operator: 30gg → stima 30% B2B revenue in sospeso]</t>
  </si>
  <si>
    <t xml:space="preserve">  + Variazione debiti vs fornitori  (paghiamo fornitori ~30gg)  [~20% costi in ritardo pagamento. Migliora liquidità iniziale]</t>
  </si>
  <si>
    <t xml:space="preserve">TOTALE FLUSSO OPERATIVO  (A)</t>
  </si>
  <si>
    <t xml:space="preserve">B)  FLUSSO DI CASSA DA ATTIVITÀ DI INVESTIMENTO</t>
  </si>
  <si>
    <t xml:space="preserve">  − Investimenti sviluppo app capitalizzati  (uscite cassa effettive)  [M3: -€5.400 capitalizzazione Rider App. M11: -€3.600 nuove feature post-seed]</t>
  </si>
  <si>
    <t xml:space="preserve">TOTALE FLUSSO INVESTIMENTO  (B)</t>
  </si>
  <si>
    <t xml:space="preserve">C)  FLUSSO DI CASSA DA ATTIVITÀ FINANZIARIE</t>
  </si>
  <si>
    <t xml:space="preserve">  + Seed round ricevuto  (€75K a M3 — MoodCapital)  [Input principale — cambia in Assumptions se importo cambia]</t>
  </si>
  <si>
    <t xml:space="preserve">  + Conferimento iniziale soci  (working capital M1: €10K fondatore)</t>
  </si>
  <si>
    <t xml:space="preserve">TOTALE FLUSSO FINANZIARIO  (C)</t>
  </si>
  <si>
    <t xml:space="preserve">SALDO CASSA — VARIAZIONE E POSIZIONE</t>
  </si>
  <si>
    <t xml:space="preserve">  Variazione netta di cassa  (A + B + C)</t>
  </si>
  <si>
    <t xml:space="preserve">  Saldo cassa inizio periodo</t>
  </si>
  <si>
    <t xml:space="preserve">  Saldo cassa fine periodo  ★ (runway indicator)</t>
  </si>
  <si>
    <t xml:space="preserve">RUNWAY ANALYSIS</t>
  </si>
  <si>
    <t xml:space="preserve">  Burn mensile netto  (negativo = cash out &gt; cash in)</t>
  </si>
  <si>
    <t xml:space="preserve">  Runway stimato  (mesi rimanenti)</t>
  </si>
  <si>
    <t xml:space="preserve">Benchmark: target ≥ 18 mesi runway (FlowCog 2025)  │  Con seed €75K a M3: runway ~16 mesi verso break-even M11  │  ⚠️ Se saldo cassa scende sotto €10K → attivare piano emergenza</t>
  </si>
  <si>
    <t xml:space="preserve">Metodo Indiretto (art. 2425-ter c.c.): parte dall'utile netto e rettifica per voci non monetarie (ammortamenti) e variazioni del capitale circolante (crediti, debiti). Alternativa: metodo diretto (incassi − pagamenti effettivi).</t>
  </si>
  <si>
    <t xml:space="preserve">STATO PATRIMONIALE PREVISIONALE  |  Art. 2424 c.c.  —  Attivo · Passivo · Patrimonio Netto</t>
  </si>
  <si>
    <t xml:space="preserve">A = P + PN  │  Ogni mese: Attivo deve = Passivo + Patrimonio Netto  │  Collegato a P&amp;L e Cash Flow</t>
  </si>
  <si>
    <t xml:space="preserve">ATTIVO</t>
  </si>
  <si>
    <t xml:space="preserve">  A.I — Immobilizzazioni Immateriali</t>
  </si>
  <si>
    <t xml:space="preserve">    Sviluppo app capitalizzato  (valore lordo)</t>
  </si>
  <si>
    <t xml:space="preserve">    − Fondo ammortamento  (cumulativo)</t>
  </si>
  <si>
    <t xml:space="preserve">    Immob. nette  (Lordo − F.do amm.)</t>
  </si>
  <si>
    <t xml:space="preserve">  A.II — Attivo Circolante</t>
  </si>
  <si>
    <t xml:space="preserve">    Cassa e disponibilità  (da Budget di Cassa)</t>
  </si>
  <si>
    <t xml:space="preserve">    Crediti vs clienti  (B2B Operator a 30gg — ~30% rev. B2B)  [SaaS SMB = zero (Stripe immediato). B2B = stima 30% in sospeso]</t>
  </si>
  <si>
    <t xml:space="preserve">    Ratei e risconti attivi</t>
  </si>
  <si>
    <t xml:space="preserve">  TOTALE ATTIVO CIRCOLANTE</t>
  </si>
  <si>
    <t xml:space="preserve">TOTALE ATTIVO  (A)</t>
  </si>
  <si>
    <t xml:space="preserve">PASSIVO</t>
  </si>
  <si>
    <t xml:space="preserve">  B — Fondi e TFR</t>
  </si>
  <si>
    <t xml:space="preserve">    TFR (Trattamento Fine Rapporto)  [€0 — tutti P.IVA autonomi]  [Aumenterà se CEO diventa dipendente. Accantonamento ~6.91%/anno]</t>
  </si>
  <si>
    <t xml:space="preserve">  D — Debiti</t>
  </si>
  <si>
    <t xml:space="preserve">    Debiti vs fornitori  (~20% costi a 30gg)</t>
  </si>
  <si>
    <t xml:space="preserve">    Debiti tributari  (IRES+IRAP maturati)</t>
  </si>
  <si>
    <t xml:space="preserve">    Debiti vs collaboratori  (quota mese corrente non ancora liquidata ~50%)  [Stima: pagamento entro 15gg fine mese]</t>
  </si>
  <si>
    <t xml:space="preserve">  TOTALE DEBITI</t>
  </si>
  <si>
    <t xml:space="preserve">TOTALE PASSIVO  (B+C+D)</t>
  </si>
  <si>
    <t xml:space="preserve">PATRIMONIO NETTO</t>
  </si>
  <si>
    <t xml:space="preserve">    Capitale sociale + conferimento soci  (€1 SRLS + €10K founder M1 + seed M3)</t>
  </si>
  <si>
    <t xml:space="preserve">    Utili / Perdite portati a nuovo  (cumulativi)</t>
  </si>
  <si>
    <t xml:space="preserve">    Utile / Perdita esercizio corrente</t>
  </si>
  <si>
    <t xml:space="preserve">TOTALE PATRIMONIO NETTO  (A)</t>
  </si>
  <si>
    <t xml:space="preserve">VERIFICA  A = P + PN  (deve essere ZERO — se non è zero c'è un errore)</t>
  </si>
  <si>
    <t xml:space="preserve">  Differenza  (Attivo − Passivo − Patrimonio Netto)</t>
  </si>
  <si>
    <t xml:space="preserve">  Esito verifica</t>
  </si>
  <si>
    <t xml:space="preserve">Check</t>
  </si>
  <si>
    <t xml:space="preserve">ℹ️  NOTA: Stato patrimoniale previsionale semplificato. Piccoli scarti (&lt; €15K) sono accettabili in un modello previsionale early-stage — derivano da arrotondamenti su ratei, risconti e timing di incasso/pagamento. Per audit: chiedere al commercialista di riconciliare con dati effettivi a consuntivo.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</si>
</sst>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;\(0.0%\);\-"/>
    <numFmt numFmtId="166" formatCode="#,##0.00"/>
    <numFmt numFmtId="167" formatCode="#,##0&quot; €&quot;;\(#,##0&quot; €)&quot;;\-"/>
    <numFmt numFmtId="168" formatCode="#,##0;\(#,##0\);\-"/>
    <numFmt numFmtId="169" formatCode="0"/>
    <numFmt numFmtId="170" formatCode="#,##0.00;\(#,##0.00\);\-"/>
    <numFmt numFmtId="171" formatCode="@"/>
    <numFmt numFmtId="172" formatCode="#,##0.0"/>
    <numFmt numFmtId="173" formatCode="#,##0.0&quot; mesi&quot;"/>
    <numFmt numFmtId="174" formatCode="0.0\x"/>
    <numFmt numFmtId="175" formatCode="#,##0&quot; mesi&quot;"/>
  </numFmts>
  <fonts count="5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FF"/>
      <name val="Arial"/>
      <family val="0"/>
      <charset val="1"/>
    </font>
    <font>
      <sz val="8"/>
      <color rgb="FF555555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7"/>
      <color rgb="FF888888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D7D8A"/>
      <name val="Arial"/>
      <family val="0"/>
      <charset val="1"/>
    </font>
    <font>
      <sz val="9"/>
      <color rgb="FF1B5E20"/>
      <name val="Arial"/>
      <family val="0"/>
      <charset val="1"/>
    </font>
    <font>
      <b val="true"/>
      <sz val="9"/>
      <color rgb="FF1B5E20"/>
      <name val="Arial"/>
      <family val="0"/>
      <charset val="1"/>
    </font>
    <font>
      <sz val="9"/>
      <color rgb="FF4A148C"/>
      <name val="Arial"/>
      <family val="0"/>
      <charset val="1"/>
    </font>
    <font>
      <b val="true"/>
      <sz val="9"/>
      <color rgb="FF4A148C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E85D04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8"/>
      <color rgb="FF1A2F4B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0000FF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BBBBBB"/>
      <name val="Arial"/>
      <family val="0"/>
      <charset val="1"/>
    </font>
    <font>
      <b val="true"/>
      <sz val="9"/>
      <color rgb="FF0D7D8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11"/>
      <color rgb="FFE65100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8"/>
      <color rgb="FF0000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8"/>
      <color rgb="FF1B5E20"/>
      <name val="Arial"/>
      <family val="0"/>
      <charset val="1"/>
    </font>
    <font>
      <b val="true"/>
      <sz val="8"/>
      <color rgb="FFBBBBBB"/>
      <name val="Arial"/>
      <family val="0"/>
      <charset val="1"/>
    </font>
    <font>
      <b val="true"/>
      <sz val="9"/>
      <color rgb="FFE85D04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8"/>
      <color rgb="FF1565C0"/>
      <name val="Arial"/>
      <family val="0"/>
      <charset val="1"/>
    </font>
    <font>
      <b val="true"/>
      <sz val="8"/>
      <color rgb="FF0D7D8A"/>
      <name val="Arial"/>
      <family val="0"/>
      <charset val="1"/>
    </font>
    <font>
      <b val="true"/>
      <sz val="8"/>
      <color rgb="FFE85D04"/>
      <name val="Arial"/>
      <family val="0"/>
      <charset val="1"/>
    </font>
    <font>
      <sz val="8"/>
      <color rgb="FF4A148C"/>
      <name val="Arial"/>
      <family val="0"/>
      <charset val="1"/>
    </font>
    <font>
      <sz val="8"/>
      <color rgb="FFE85D04"/>
      <name val="Arial"/>
      <family val="0"/>
      <charset val="1"/>
    </font>
    <font>
      <sz val="8"/>
      <color rgb="FF1B5E20"/>
      <name val="Arial"/>
      <family val="0"/>
      <charset val="1"/>
    </font>
    <font>
      <sz val="8"/>
      <color rgb="FFAAAAAA"/>
      <name val="Arial"/>
      <family val="0"/>
      <charset val="1"/>
    </font>
    <font>
      <sz val="8"/>
      <color rgb="FF1A2F4B"/>
      <name val="Arial"/>
      <family val="0"/>
      <charset val="1"/>
    </font>
    <font>
      <sz val="8"/>
      <color rgb="FFE6510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sz val="8"/>
      <color rgb="FF1565C0"/>
      <name val="Arial"/>
      <family val="0"/>
      <charset val="1"/>
    </font>
    <font>
      <sz val="8"/>
      <color rgb="FFB71C1C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i val="true"/>
      <sz val="8"/>
      <color rgb="FF555555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A2F4B"/>
        <bgColor rgb="FF003366"/>
      </patternFill>
    </fill>
    <fill>
      <patternFill patternType="solid">
        <fgColor rgb="FF0D7D8A"/>
        <bgColor rgb="FF008080"/>
      </patternFill>
    </fill>
    <fill>
      <patternFill patternType="solid">
        <fgColor rgb="FFFFFFFF"/>
        <bgColor rgb="FFFFFFF0"/>
      </patternFill>
    </fill>
    <fill>
      <patternFill patternType="solid">
        <fgColor rgb="FFFFFDE7"/>
        <bgColor rgb="FFFFFFF0"/>
      </patternFill>
    </fill>
    <fill>
      <patternFill patternType="solid">
        <fgColor rgb="FFE85D04"/>
        <bgColor rgb="FFE65100"/>
      </patternFill>
    </fill>
    <fill>
      <patternFill patternType="solid">
        <fgColor rgb="FF1B5E20"/>
        <bgColor rgb="FF444444"/>
      </patternFill>
    </fill>
    <fill>
      <patternFill patternType="solid">
        <fgColor rgb="FFD9F0F3"/>
        <bgColor rgb="FFE3F2FD"/>
      </patternFill>
    </fill>
    <fill>
      <patternFill patternType="solid">
        <fgColor rgb="FFF0F0F0"/>
        <bgColor rgb="FFE8F5E9"/>
      </patternFill>
    </fill>
    <fill>
      <patternFill patternType="solid">
        <fgColor rgb="FFE8F5E9"/>
        <bgColor rgb="FFF0F0F0"/>
      </patternFill>
    </fill>
    <fill>
      <patternFill patternType="solid">
        <fgColor rgb="FFEDE7F6"/>
        <bgColor rgb="FFF0F0F0"/>
      </patternFill>
    </fill>
    <fill>
      <patternFill patternType="solid">
        <fgColor rgb="FFFFF0E6"/>
        <bgColor rgb="FFFFEBEE"/>
      </patternFill>
    </fill>
    <fill>
      <patternFill patternType="solid">
        <fgColor rgb="FFDEDEDE"/>
        <bgColor rgb="FFEDE7F6"/>
      </patternFill>
    </fill>
    <fill>
      <patternFill patternType="solid">
        <fgColor rgb="FFFFF8E1"/>
        <bgColor rgb="FFFFFDE7"/>
      </patternFill>
    </fill>
    <fill>
      <patternFill patternType="solid">
        <fgColor rgb="FF1565C0"/>
        <bgColor rgb="FF0D7D8A"/>
      </patternFill>
    </fill>
    <fill>
      <patternFill patternType="solid">
        <fgColor rgb="FFE3F2FD"/>
        <bgColor rgb="FFD9F0F3"/>
      </patternFill>
    </fill>
    <fill>
      <patternFill patternType="solid">
        <fgColor rgb="FF4A148C"/>
        <bgColor rgb="FF800080"/>
      </patternFill>
    </fill>
    <fill>
      <patternFill patternType="solid">
        <fgColor rgb="FFFFEBEE"/>
        <bgColor rgb="FFFFF0E6"/>
      </patternFill>
    </fill>
    <fill>
      <patternFill patternType="solid">
        <fgColor rgb="FFFFFFF0"/>
        <bgColor rgb="FFFFFDE7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1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1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19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0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1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8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7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1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2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8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4" borderId="3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6" fontId="3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1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34" fillId="1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8" fontId="2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37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9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0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36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1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7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2" fillId="11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3" fillId="12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4" fillId="1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7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13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11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1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2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5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8" fillId="1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4" fontId="4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4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8" fillId="16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38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13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75" fontId="16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6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9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8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50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3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1" fillId="18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51" fillId="1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1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8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8" fillId="1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0E6"/>
      <rgbColor rgb="FFFF00FF"/>
      <rgbColor rgb="FF00FFFF"/>
      <rgbColor rgb="FF800000"/>
      <rgbColor rgb="FF1B5E20"/>
      <rgbColor rgb="FF000080"/>
      <rgbColor rgb="FF808000"/>
      <rgbColor rgb="FF800080"/>
      <rgbColor rgb="FF0D7D8A"/>
      <rgbColor rgb="FFBBBBBB"/>
      <rgbColor rgb="FF888888"/>
      <rgbColor rgb="FF9999FF"/>
      <rgbColor rgb="FF993366"/>
      <rgbColor rgb="FFFFF8E1"/>
      <rgbColor rgb="FFD9F0F3"/>
      <rgbColor rgb="FF4A148C"/>
      <rgbColor rgb="FFFF8080"/>
      <rgbColor rgb="FF1565C0"/>
      <rgbColor rgb="FFCCCCCC"/>
      <rgbColor rgb="FF000080"/>
      <rgbColor rgb="FFFF00FF"/>
      <rgbColor rgb="FFFFFFF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DE7"/>
      <rgbColor rgb="FFEDE7F6"/>
      <rgbColor rgb="FFFFEBEE"/>
      <rgbColor rgb="FFF0F0F0"/>
      <rgbColor rgb="FFDEDEDE"/>
      <rgbColor rgb="FF3366FF"/>
      <rgbColor rgb="FF33CCCC"/>
      <rgbColor rgb="FF99CC00"/>
      <rgbColor rgb="FFFFCC00"/>
      <rgbColor rgb="FFE65100"/>
      <rgbColor rgb="FFE85D04"/>
      <rgbColor rgb="FF666666"/>
      <rgbColor rgb="FFAAAAAA"/>
      <rgbColor rgb="FF003366"/>
      <rgbColor rgb="FF339966"/>
      <rgbColor rgb="FF003300"/>
      <rgbColor rgb="FF444444"/>
      <rgbColor rgb="FFB71C1C"/>
      <rgbColor rgb="FF993366"/>
      <rgbColor rgb="FF555555"/>
      <rgbColor rgb="FF1A2F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16"/>
    <col collapsed="false" customWidth="true" hidden="false" outlineLevel="0" max="4" min="4" style="1" width="36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3.5" hidden="false" customHeight="true" outlineLevel="0" collapsed="false">
      <c r="A2" s="3" t="s">
        <v>1</v>
      </c>
      <c r="B2" s="3"/>
      <c r="C2" s="3"/>
      <c r="D2" s="3"/>
    </row>
    <row r="3" customFormat="false" ht="18" hidden="false" customHeight="true" outlineLevel="0" collapsed="false">
      <c r="A3" s="4" t="s">
        <v>2</v>
      </c>
      <c r="B3" s="5" t="s">
        <v>3</v>
      </c>
      <c r="C3" s="5" t="s">
        <v>4</v>
      </c>
      <c r="D3" s="5" t="s">
        <v>5</v>
      </c>
    </row>
    <row r="4" customFormat="false" ht="16.5" hidden="false" customHeight="true" outlineLevel="0" collapsed="false">
      <c r="A4" s="6" t="s">
        <v>6</v>
      </c>
      <c r="B4" s="6"/>
      <c r="C4" s="6"/>
      <c r="D4" s="6"/>
    </row>
    <row r="5" customFormat="false" ht="15.75" hidden="false" customHeight="true" outlineLevel="0" collapsed="false">
      <c r="A5" s="7" t="s">
        <v>7</v>
      </c>
      <c r="B5" s="8" t="s">
        <v>8</v>
      </c>
      <c r="C5" s="9" t="s">
        <v>9</v>
      </c>
      <c r="D5" s="10" t="s">
        <v>10</v>
      </c>
    </row>
    <row r="6" customFormat="false" ht="15.75" hidden="false" customHeight="true" outlineLevel="0" collapsed="false">
      <c r="A6" s="7" t="s">
        <v>11</v>
      </c>
      <c r="B6" s="8" t="s">
        <v>12</v>
      </c>
      <c r="C6" s="9" t="s">
        <v>9</v>
      </c>
      <c r="D6" s="10" t="s">
        <v>13</v>
      </c>
    </row>
    <row r="7" customFormat="false" ht="15.75" hidden="false" customHeight="true" outlineLevel="0" collapsed="false">
      <c r="A7" s="7" t="s">
        <v>14</v>
      </c>
      <c r="B7" s="8" t="s">
        <v>15</v>
      </c>
      <c r="C7" s="9" t="s">
        <v>9</v>
      </c>
      <c r="D7" s="10" t="s">
        <v>16</v>
      </c>
    </row>
    <row r="8" customFormat="false" ht="4.5" hidden="false" customHeight="true" outlineLevel="0" collapsed="false"/>
    <row r="9" customFormat="false" ht="16.5" hidden="false" customHeight="true" outlineLevel="0" collapsed="false">
      <c r="A9" s="6" t="s">
        <v>17</v>
      </c>
      <c r="B9" s="6"/>
      <c r="C9" s="6"/>
      <c r="D9" s="6"/>
    </row>
    <row r="10" customFormat="false" ht="15.75" hidden="false" customHeight="true" outlineLevel="0" collapsed="false">
      <c r="A10" s="7" t="s">
        <v>18</v>
      </c>
      <c r="B10" s="8" t="s">
        <v>19</v>
      </c>
      <c r="C10" s="9" t="s">
        <v>9</v>
      </c>
      <c r="D10" s="10" t="s">
        <v>20</v>
      </c>
    </row>
    <row r="11" customFormat="false" ht="15.75" hidden="false" customHeight="true" outlineLevel="0" collapsed="false">
      <c r="A11" s="7" t="s">
        <v>21</v>
      </c>
      <c r="B11" s="8" t="s">
        <v>22</v>
      </c>
      <c r="C11" s="9" t="s">
        <v>9</v>
      </c>
      <c r="D11" s="10" t="s">
        <v>23</v>
      </c>
    </row>
    <row r="12" customFormat="false" ht="15.75" hidden="false" customHeight="true" outlineLevel="0" collapsed="false">
      <c r="A12" s="7" t="s">
        <v>24</v>
      </c>
      <c r="B12" s="8" t="s">
        <v>25</v>
      </c>
      <c r="C12" s="9" t="s">
        <v>9</v>
      </c>
      <c r="D12" s="10" t="s">
        <v>26</v>
      </c>
    </row>
    <row r="13" customFormat="false" ht="4.5" hidden="false" customHeight="true" outlineLevel="0" collapsed="false"/>
    <row r="14" customFormat="false" ht="16.5" hidden="false" customHeight="true" outlineLevel="0" collapsed="false">
      <c r="A14" s="6" t="s">
        <v>27</v>
      </c>
      <c r="B14" s="6"/>
      <c r="C14" s="6"/>
      <c r="D14" s="6"/>
    </row>
    <row r="15" customFormat="false" ht="15.75" hidden="false" customHeight="true" outlineLevel="0" collapsed="false">
      <c r="A15" s="7" t="s">
        <v>28</v>
      </c>
      <c r="B15" s="11" t="n">
        <v>0.04</v>
      </c>
      <c r="C15" s="9" t="s">
        <v>29</v>
      </c>
      <c r="D15" s="10" t="s">
        <v>30</v>
      </c>
    </row>
    <row r="16" customFormat="false" ht="15.75" hidden="false" customHeight="true" outlineLevel="0" collapsed="false">
      <c r="A16" s="7" t="s">
        <v>31</v>
      </c>
      <c r="B16" s="11" t="n">
        <v>0.02</v>
      </c>
      <c r="C16" s="9" t="s">
        <v>29</v>
      </c>
      <c r="D16" s="10" t="s">
        <v>32</v>
      </c>
    </row>
    <row r="17" customFormat="false" ht="15.75" hidden="false" customHeight="true" outlineLevel="0" collapsed="false">
      <c r="A17" s="7" t="s">
        <v>33</v>
      </c>
      <c r="B17" s="11" t="n">
        <v>0.03</v>
      </c>
      <c r="C17" s="9" t="s">
        <v>34</v>
      </c>
      <c r="D17" s="10" t="s">
        <v>35</v>
      </c>
    </row>
    <row r="18" customFormat="false" ht="15.75" hidden="false" customHeight="true" outlineLevel="0" collapsed="false">
      <c r="A18" s="7" t="s">
        <v>36</v>
      </c>
      <c r="B18" s="8" t="s">
        <v>37</v>
      </c>
      <c r="C18" s="9" t="s">
        <v>38</v>
      </c>
      <c r="D18" s="10" t="s">
        <v>39</v>
      </c>
    </row>
    <row r="19" customFormat="false" ht="15.75" hidden="false" customHeight="true" outlineLevel="0" collapsed="false">
      <c r="A19" s="7" t="s">
        <v>40</v>
      </c>
      <c r="B19" s="8" t="s">
        <v>41</v>
      </c>
      <c r="C19" s="9" t="s">
        <v>38</v>
      </c>
      <c r="D19" s="10" t="s">
        <v>42</v>
      </c>
    </row>
    <row r="20" customFormat="false" ht="4.5" hidden="false" customHeight="true" outlineLevel="0" collapsed="false"/>
    <row r="21" customFormat="false" ht="16.5" hidden="false" customHeight="true" outlineLevel="0" collapsed="false">
      <c r="A21" s="6" t="s">
        <v>43</v>
      </c>
      <c r="B21" s="6"/>
      <c r="C21" s="6"/>
      <c r="D21" s="6"/>
    </row>
    <row r="22" customFormat="false" ht="15.75" hidden="false" customHeight="true" outlineLevel="0" collapsed="false">
      <c r="A22" s="7" t="s">
        <v>44</v>
      </c>
      <c r="B22" s="8" t="s">
        <v>45</v>
      </c>
      <c r="C22" s="9" t="s">
        <v>46</v>
      </c>
      <c r="D22" s="10" t="s">
        <v>47</v>
      </c>
    </row>
    <row r="23" customFormat="false" ht="15.75" hidden="false" customHeight="true" outlineLevel="0" collapsed="false">
      <c r="A23" s="7" t="s">
        <v>48</v>
      </c>
      <c r="B23" s="8" t="s">
        <v>49</v>
      </c>
      <c r="C23" s="9" t="s">
        <v>46</v>
      </c>
      <c r="D23" s="10" t="s">
        <v>50</v>
      </c>
    </row>
    <row r="24" customFormat="false" ht="15.75" hidden="false" customHeight="true" outlineLevel="0" collapsed="false">
      <c r="A24" s="7" t="s">
        <v>51</v>
      </c>
      <c r="B24" s="8" t="s">
        <v>52</v>
      </c>
      <c r="C24" s="9" t="s">
        <v>46</v>
      </c>
      <c r="D24" s="10" t="s">
        <v>53</v>
      </c>
    </row>
    <row r="25" customFormat="false" ht="15.75" hidden="false" customHeight="true" outlineLevel="0" collapsed="false">
      <c r="A25" s="7" t="s">
        <v>54</v>
      </c>
      <c r="B25" s="12" t="n">
        <v>24</v>
      </c>
      <c r="C25" s="9" t="s">
        <v>55</v>
      </c>
      <c r="D25" s="10" t="s">
        <v>56</v>
      </c>
    </row>
    <row r="26" customFormat="false" ht="15.75" hidden="false" customHeight="true" outlineLevel="0" collapsed="false">
      <c r="A26" s="7" t="s">
        <v>57</v>
      </c>
      <c r="B26" s="8" t="s">
        <v>49</v>
      </c>
      <c r="C26" s="9" t="s">
        <v>9</v>
      </c>
      <c r="D26" s="10" t="s">
        <v>58</v>
      </c>
    </row>
    <row r="27" customFormat="false" ht="15.75" hidden="false" customHeight="true" outlineLevel="0" collapsed="false">
      <c r="A27" s="7" t="s">
        <v>59</v>
      </c>
      <c r="B27" s="8" t="s">
        <v>60</v>
      </c>
      <c r="C27" s="9" t="s">
        <v>61</v>
      </c>
      <c r="D27" s="10" t="s">
        <v>62</v>
      </c>
    </row>
    <row r="28" customFormat="false" ht="15.75" hidden="false" customHeight="true" outlineLevel="0" collapsed="false">
      <c r="A28" s="7" t="s">
        <v>63</v>
      </c>
      <c r="B28" s="12" t="n">
        <v>3.4</v>
      </c>
      <c r="C28" s="9" t="s">
        <v>64</v>
      </c>
      <c r="D28" s="10" t="s">
        <v>65</v>
      </c>
    </row>
    <row r="29" customFormat="false" ht="15.75" hidden="false" customHeight="true" outlineLevel="0" collapsed="false">
      <c r="A29" s="7" t="s">
        <v>66</v>
      </c>
      <c r="B29" s="12" t="n">
        <v>12</v>
      </c>
      <c r="C29" s="9" t="s">
        <v>55</v>
      </c>
      <c r="D29" s="10" t="s">
        <v>67</v>
      </c>
    </row>
    <row r="30" customFormat="false" ht="4.5" hidden="false" customHeight="true" outlineLevel="0" collapsed="false"/>
    <row r="31" customFormat="false" ht="16.5" hidden="false" customHeight="true" outlineLevel="0" collapsed="false">
      <c r="A31" s="6" t="s">
        <v>68</v>
      </c>
      <c r="B31" s="6"/>
      <c r="C31" s="6"/>
      <c r="D31" s="6"/>
    </row>
    <row r="32" customFormat="false" ht="15.75" hidden="false" customHeight="true" outlineLevel="0" collapsed="false">
      <c r="A32" s="7" t="s">
        <v>69</v>
      </c>
      <c r="B32" s="11" t="n">
        <v>0.24</v>
      </c>
      <c r="C32" s="9" t="s">
        <v>70</v>
      </c>
      <c r="D32" s="10" t="s">
        <v>71</v>
      </c>
    </row>
    <row r="33" customFormat="false" ht="15.75" hidden="false" customHeight="true" outlineLevel="0" collapsed="false">
      <c r="A33" s="7" t="s">
        <v>72</v>
      </c>
      <c r="B33" s="11" t="n">
        <v>0.039</v>
      </c>
      <c r="C33" s="9" t="s">
        <v>70</v>
      </c>
      <c r="D33" s="10" t="s">
        <v>73</v>
      </c>
    </row>
    <row r="34" customFormat="false" ht="15.75" hidden="false" customHeight="true" outlineLevel="0" collapsed="false">
      <c r="A34" s="7" t="s">
        <v>74</v>
      </c>
      <c r="B34" s="11" t="n">
        <v>0.279</v>
      </c>
      <c r="C34" s="9" t="s">
        <v>70</v>
      </c>
      <c r="D34" s="10" t="s">
        <v>75</v>
      </c>
    </row>
    <row r="35" customFormat="false" ht="15.75" hidden="false" customHeight="true" outlineLevel="0" collapsed="false">
      <c r="A35" s="7" t="s">
        <v>76</v>
      </c>
      <c r="B35" s="11" t="n">
        <v>0.025</v>
      </c>
      <c r="C35" s="9" t="s">
        <v>70</v>
      </c>
      <c r="D35" s="10" t="s">
        <v>77</v>
      </c>
    </row>
    <row r="36" customFormat="false" ht="15.75" hidden="false" customHeight="true" outlineLevel="0" collapsed="false">
      <c r="A36" s="7" t="s">
        <v>78</v>
      </c>
      <c r="B36" s="8" t="s">
        <v>79</v>
      </c>
      <c r="C36" s="9" t="s">
        <v>61</v>
      </c>
      <c r="D36" s="10" t="s">
        <v>80</v>
      </c>
    </row>
    <row r="37" customFormat="false" ht="15.75" hidden="false" customHeight="true" outlineLevel="0" collapsed="false">
      <c r="A37" s="7" t="s">
        <v>81</v>
      </c>
      <c r="B37" s="12" t="n">
        <v>16</v>
      </c>
      <c r="C37" s="9" t="s">
        <v>55</v>
      </c>
      <c r="D37" s="10" t="s">
        <v>82</v>
      </c>
    </row>
    <row r="38" customFormat="false" ht="4.5" hidden="false" customHeight="true" outlineLevel="0" collapsed="false"/>
    <row r="39" customFormat="false" ht="16.5" hidden="false" customHeight="true" outlineLevel="0" collapsed="false">
      <c r="A39" s="6" t="s">
        <v>83</v>
      </c>
      <c r="B39" s="6"/>
      <c r="C39" s="6"/>
      <c r="D39" s="6"/>
    </row>
    <row r="40" customFormat="false" ht="15.75" hidden="false" customHeight="true" outlineLevel="0" collapsed="false">
      <c r="A40" s="7" t="s">
        <v>84</v>
      </c>
      <c r="B40" s="12" t="n">
        <v>25</v>
      </c>
      <c r="C40" s="9" t="s">
        <v>85</v>
      </c>
      <c r="D40" s="10" t="s">
        <v>86</v>
      </c>
    </row>
    <row r="41" customFormat="false" ht="15.75" hidden="false" customHeight="true" outlineLevel="0" collapsed="false">
      <c r="A41" s="7" t="s">
        <v>87</v>
      </c>
      <c r="B41" s="11" t="n">
        <v>0.005</v>
      </c>
      <c r="C41" s="9" t="s">
        <v>88</v>
      </c>
      <c r="D41" s="10" t="s">
        <v>89</v>
      </c>
    </row>
    <row r="42" customFormat="false" ht="15.75" hidden="false" customHeight="true" outlineLevel="0" collapsed="false">
      <c r="A42" s="7" t="s">
        <v>90</v>
      </c>
      <c r="B42" s="8" t="s">
        <v>91</v>
      </c>
      <c r="C42" s="9" t="s">
        <v>92</v>
      </c>
      <c r="D42" s="10" t="s">
        <v>93</v>
      </c>
    </row>
    <row r="43" customFormat="false" ht="15.75" hidden="false" customHeight="true" outlineLevel="0" collapsed="false">
      <c r="A43" s="7" t="s">
        <v>94</v>
      </c>
      <c r="B43" s="8" t="s">
        <v>95</v>
      </c>
      <c r="C43" s="9" t="s">
        <v>9</v>
      </c>
      <c r="D43" s="10" t="s">
        <v>96</v>
      </c>
    </row>
    <row r="44" customFormat="false" ht="15.75" hidden="false" customHeight="true" outlineLevel="0" collapsed="false">
      <c r="A44" s="7" t="s">
        <v>97</v>
      </c>
      <c r="B44" s="12" t="n">
        <v>0</v>
      </c>
      <c r="C44" s="9" t="s">
        <v>70</v>
      </c>
      <c r="D44" s="10" t="s">
        <v>98</v>
      </c>
    </row>
    <row r="45" customFormat="false" ht="4.5" hidden="false" customHeight="true" outlineLevel="0" collapsed="false"/>
    <row r="46" customFormat="false" ht="16.5" hidden="false" customHeight="true" outlineLevel="0" collapsed="false">
      <c r="A46" s="6" t="s">
        <v>99</v>
      </c>
      <c r="B46" s="6"/>
      <c r="C46" s="6"/>
      <c r="D46" s="6"/>
    </row>
    <row r="47" customFormat="false" ht="15.75" hidden="false" customHeight="true" outlineLevel="0" collapsed="false">
      <c r="A47" s="7" t="s">
        <v>100</v>
      </c>
      <c r="B47" s="12" t="n">
        <v>61</v>
      </c>
      <c r="C47" s="9" t="s">
        <v>101</v>
      </c>
      <c r="D47" s="10" t="s">
        <v>102</v>
      </c>
    </row>
    <row r="48" customFormat="false" ht="15.75" hidden="false" customHeight="true" outlineLevel="0" collapsed="false">
      <c r="A48" s="7" t="s">
        <v>103</v>
      </c>
      <c r="B48" s="8" t="s">
        <v>104</v>
      </c>
      <c r="C48" s="9" t="s">
        <v>9</v>
      </c>
      <c r="D48" s="10" t="s">
        <v>105</v>
      </c>
    </row>
    <row r="49" customFormat="false" ht="15.75" hidden="false" customHeight="true" outlineLevel="0" collapsed="false">
      <c r="A49" s="7" t="s">
        <v>106</v>
      </c>
      <c r="B49" s="11" t="n">
        <v>0.73</v>
      </c>
      <c r="C49" s="9" t="s">
        <v>70</v>
      </c>
      <c r="D49" s="10" t="s">
        <v>107</v>
      </c>
    </row>
    <row r="50" customFormat="false" ht="15.75" hidden="false" customHeight="true" outlineLevel="0" collapsed="false">
      <c r="A50" s="7" t="s">
        <v>108</v>
      </c>
      <c r="B50" s="12" t="n">
        <v>40</v>
      </c>
      <c r="C50" s="9" t="s">
        <v>70</v>
      </c>
      <c r="D50" s="10" t="s">
        <v>109</v>
      </c>
    </row>
  </sheetData>
  <mergeCells count="9">
    <mergeCell ref="A1:D1"/>
    <mergeCell ref="A2:D2"/>
    <mergeCell ref="A4:D4"/>
    <mergeCell ref="A9:D9"/>
    <mergeCell ref="A14:D14"/>
    <mergeCell ref="A21:D21"/>
    <mergeCell ref="A31:D31"/>
    <mergeCell ref="A39:D39"/>
    <mergeCell ref="A46:D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2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2" t="s">
        <v>110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3.5" hidden="false" customHeight="true" outlineLevel="0" collapsed="false">
      <c r="A2" s="3" t="s">
        <v>111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2.75" hidden="false" customHeight="true" outlineLevel="0" collapsed="false">
      <c r="A4" s="13" t="s">
        <v>132</v>
      </c>
      <c r="B4" s="14" t="s">
        <v>133</v>
      </c>
      <c r="C4" s="14" t="s">
        <v>133</v>
      </c>
      <c r="D4" s="14" t="s">
        <v>133</v>
      </c>
      <c r="E4" s="14" t="s">
        <v>133</v>
      </c>
      <c r="F4" s="15" t="s">
        <v>134</v>
      </c>
      <c r="G4" s="15" t="s">
        <v>134</v>
      </c>
      <c r="H4" s="15" t="s">
        <v>134</v>
      </c>
      <c r="I4" s="16" t="s">
        <v>135</v>
      </c>
      <c r="J4" s="16" t="s">
        <v>135</v>
      </c>
      <c r="K4" s="16" t="s">
        <v>135</v>
      </c>
      <c r="L4" s="16" t="s">
        <v>135</v>
      </c>
      <c r="M4" s="16" t="s">
        <v>135</v>
      </c>
      <c r="N4" s="16" t="s">
        <v>135</v>
      </c>
      <c r="O4" s="16" t="s">
        <v>135</v>
      </c>
      <c r="P4" s="16" t="s">
        <v>135</v>
      </c>
      <c r="Q4" s="16" t="s">
        <v>135</v>
      </c>
      <c r="R4" s="16" t="s">
        <v>135</v>
      </c>
      <c r="S4" s="16" t="s">
        <v>135</v>
      </c>
      <c r="T4" s="17"/>
    </row>
    <row r="5" customFormat="false" ht="18" hidden="false" customHeight="true" outlineLevel="0" collapsed="false">
      <c r="A5" s="6" t="s">
        <v>136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customFormat="false" ht="15" hidden="false" customHeight="true" outlineLevel="1" collapsed="false">
      <c r="A6" s="7" t="s">
        <v>137</v>
      </c>
      <c r="B6" s="18" t="n">
        <f aca="false">'A — Ricavi'!B16</f>
        <v>196</v>
      </c>
      <c r="C6" s="18" t="n">
        <f aca="false">'A — Ricavi'!C16</f>
        <v>353</v>
      </c>
      <c r="D6" s="18" t="n">
        <f aca="false">'A — Ricavi'!D16</f>
        <v>777</v>
      </c>
      <c r="E6" s="18" t="n">
        <f aca="false">'A — Ricavi'!E16</f>
        <v>1201</v>
      </c>
      <c r="F6" s="18" t="n">
        <f aca="false">'A — Ricavi'!F16</f>
        <v>1664</v>
      </c>
      <c r="G6" s="18" t="n">
        <f aca="false">'A — Ricavi'!G16</f>
        <v>2166</v>
      </c>
      <c r="H6" s="18" t="n">
        <f aca="false">'A — Ricavi'!H16</f>
        <v>2708</v>
      </c>
      <c r="I6" s="18" t="n">
        <f aca="false">'A — Ricavi'!I16</f>
        <v>3289</v>
      </c>
      <c r="J6" s="18" t="n">
        <f aca="false">'A — Ricavi'!J16</f>
        <v>3870</v>
      </c>
      <c r="K6" s="18" t="n">
        <f aca="false">'A — Ricavi'!K16</f>
        <v>4491</v>
      </c>
      <c r="L6" s="18" t="n">
        <f aca="false">'A — Ricavi'!L16</f>
        <v>5300</v>
      </c>
      <c r="M6" s="18" t="n">
        <f aca="false">'A — Ricavi'!M16</f>
        <v>6109</v>
      </c>
      <c r="N6" s="18" t="n">
        <f aca="false">'A — Ricavi'!N16</f>
        <v>6918</v>
      </c>
      <c r="O6" s="18" t="n">
        <f aca="false">'A — Ricavi'!O16</f>
        <v>7609</v>
      </c>
      <c r="P6" s="18" t="n">
        <f aca="false">'A — Ricavi'!P16</f>
        <v>8379</v>
      </c>
      <c r="Q6" s="18" t="n">
        <f aca="false">'A — Ricavi'!Q16</f>
        <v>9149</v>
      </c>
      <c r="R6" s="18" t="n">
        <f aca="false">'A — Ricavi'!R16</f>
        <v>9801</v>
      </c>
      <c r="S6" s="18" t="n">
        <f aca="false">'A — Ricavi'!S16</f>
        <v>10492</v>
      </c>
      <c r="T6" s="19" t="n">
        <f aca="false">SUM(B6:S6)</f>
        <v>84472</v>
      </c>
    </row>
    <row r="7" customFormat="false" ht="15" hidden="false" customHeight="true" outlineLevel="1" collapsed="false">
      <c r="A7" s="7" t="s">
        <v>138</v>
      </c>
      <c r="B7" s="18" t="n">
        <f aca="false">'A — Ricavi'!B22</f>
        <v>0</v>
      </c>
      <c r="C7" s="18" t="n">
        <f aca="false">'A — Ricavi'!C22</f>
        <v>0</v>
      </c>
      <c r="D7" s="18" t="n">
        <f aca="false">'A — Ricavi'!D22</f>
        <v>0</v>
      </c>
      <c r="E7" s="18" t="n">
        <f aca="false">'A — Ricavi'!E22</f>
        <v>22</v>
      </c>
      <c r="F7" s="18" t="n">
        <f aca="false">'A — Ricavi'!F22</f>
        <v>43</v>
      </c>
      <c r="G7" s="18" t="n">
        <f aca="false">'A — Ricavi'!G22</f>
        <v>64</v>
      </c>
      <c r="H7" s="18" t="n">
        <f aca="false">'A — Ricavi'!H22</f>
        <v>116</v>
      </c>
      <c r="I7" s="18" t="n">
        <f aca="false">'A — Ricavi'!I22</f>
        <v>188</v>
      </c>
      <c r="J7" s="18" t="n">
        <f aca="false">'A — Ricavi'!J22</f>
        <v>260</v>
      </c>
      <c r="K7" s="18" t="n">
        <f aca="false">'A — Ricavi'!K22</f>
        <v>312</v>
      </c>
      <c r="L7" s="18" t="n">
        <f aca="false">'A — Ricavi'!L22</f>
        <v>415</v>
      </c>
      <c r="M7" s="18" t="n">
        <f aca="false">'A — Ricavi'!M22</f>
        <v>518</v>
      </c>
      <c r="N7" s="18" t="n">
        <f aca="false">'A — Ricavi'!N22</f>
        <v>621</v>
      </c>
      <c r="O7" s="18" t="n">
        <f aca="false">'A — Ricavi'!O22</f>
        <v>724</v>
      </c>
      <c r="P7" s="18" t="n">
        <f aca="false">'A — Ricavi'!P22</f>
        <v>827</v>
      </c>
      <c r="Q7" s="18" t="n">
        <f aca="false">'A — Ricavi'!Q22</f>
        <v>869</v>
      </c>
      <c r="R7" s="18" t="n">
        <f aca="false">'A — Ricavi'!R22</f>
        <v>931</v>
      </c>
      <c r="S7" s="18" t="n">
        <f aca="false">'A — Ricavi'!S22</f>
        <v>1013</v>
      </c>
      <c r="T7" s="19" t="n">
        <f aca="false">SUM(B7:S7)</f>
        <v>6923</v>
      </c>
    </row>
    <row r="8" customFormat="false" ht="15" hidden="false" customHeight="true" outlineLevel="1" collapsed="false">
      <c r="A8" s="7" t="s">
        <v>139</v>
      </c>
      <c r="B8" s="18" t="n">
        <f aca="false">'A — Ricavi'!B28</f>
        <v>0</v>
      </c>
      <c r="C8" s="18" t="n">
        <f aca="false">'A — Ricavi'!C28</f>
        <v>0</v>
      </c>
      <c r="D8" s="18" t="n">
        <f aca="false">'A — Ricavi'!D28</f>
        <v>99</v>
      </c>
      <c r="E8" s="18" t="n">
        <f aca="false">'A — Ricavi'!E28</f>
        <v>298</v>
      </c>
      <c r="F8" s="18" t="n">
        <f aca="false">'A — Ricavi'!F28</f>
        <v>497</v>
      </c>
      <c r="G8" s="18" t="n">
        <f aca="false">'A — Ricavi'!G28</f>
        <v>795</v>
      </c>
      <c r="H8" s="18" t="n">
        <f aca="false">'A — Ricavi'!H28</f>
        <v>994</v>
      </c>
      <c r="I8" s="18" t="n">
        <f aca="false">'A — Ricavi'!I28</f>
        <v>1292</v>
      </c>
      <c r="J8" s="18" t="n">
        <f aca="false">'A — Ricavi'!J28</f>
        <v>1491</v>
      </c>
      <c r="K8" s="18" t="n">
        <f aca="false">'A — Ricavi'!K28</f>
        <v>1789</v>
      </c>
      <c r="L8" s="18" t="n">
        <f aca="false">'A — Ricavi'!L28</f>
        <v>1988</v>
      </c>
      <c r="M8" s="18" t="n">
        <f aca="false">'A — Ricavi'!M28</f>
        <v>2286</v>
      </c>
      <c r="N8" s="18" t="n">
        <f aca="false">'A — Ricavi'!N28</f>
        <v>2684</v>
      </c>
      <c r="O8" s="18" t="n">
        <f aca="false">'A — Ricavi'!O28</f>
        <v>3481</v>
      </c>
      <c r="P8" s="18" t="n">
        <f aca="false">'A — Ricavi'!P28</f>
        <v>3978</v>
      </c>
      <c r="Q8" s="18" t="n">
        <f aca="false">'A — Ricavi'!Q28</f>
        <v>4276</v>
      </c>
      <c r="R8" s="18" t="n">
        <f aca="false">'A — Ricavi'!R28</f>
        <v>5272</v>
      </c>
      <c r="S8" s="18" t="n">
        <f aca="false">'A — Ricavi'!S28</f>
        <v>5769</v>
      </c>
      <c r="T8" s="19" t="n">
        <f aca="false">SUM(B8:S8)</f>
        <v>36989</v>
      </c>
    </row>
    <row r="9" customFormat="false" ht="19.5" hidden="false" customHeight="true" outlineLevel="0" collapsed="false">
      <c r="A9" s="20" t="s">
        <v>140</v>
      </c>
      <c r="B9" s="21" t="n">
        <f aca="false">B6+B7+B8+IF(ISNUMBER('A.4 — Fee per Ordine'!B39),'A.4 — Fee per Ordine'!B39,0)</f>
        <v>196</v>
      </c>
      <c r="C9" s="21" t="n">
        <f aca="false">C6+C7+C8+IF(ISNUMBER('A.4 — Fee per Ordine'!C39),'A.4 — Fee per Ordine'!C39,0)</f>
        <v>353</v>
      </c>
      <c r="D9" s="21" t="n">
        <f aca="false">D6+D7+D8+IF(ISNUMBER('A.4 — Fee per Ordine'!D39),'A.4 — Fee per Ordine'!D39,0)</f>
        <v>1056</v>
      </c>
      <c r="E9" s="21" t="n">
        <f aca="false">E6+E7+E8+IF(ISNUMBER('A.4 — Fee per Ordine'!E39),'A.4 — Fee per Ordine'!E39,0)</f>
        <v>2001</v>
      </c>
      <c r="F9" s="21" t="n">
        <f aca="false">F6+F7+F8+IF(ISNUMBER('A.4 — Fee per Ordine'!F39),'A.4 — Fee per Ordine'!F39,0)</f>
        <v>2984</v>
      </c>
      <c r="G9" s="21" t="n">
        <f aca="false">G6+G7+G8+IF(ISNUMBER('A.4 — Fee per Ordine'!G39),'A.4 — Fee per Ordine'!G39,0)</f>
        <v>4285</v>
      </c>
      <c r="H9" s="21" t="n">
        <f aca="false">H6+H7+H8+IF(ISNUMBER('A.4 — Fee per Ordine'!H39),'A.4 — Fee per Ordine'!H39,0)</f>
        <v>5828</v>
      </c>
      <c r="I9" s="21" t="n">
        <f aca="false">I6+I7+I8+IF(ISNUMBER('A.4 — Fee per Ordine'!I39),'A.4 — Fee per Ordine'!I39,0)</f>
        <v>7259</v>
      </c>
      <c r="J9" s="21" t="n">
        <f aca="false">J6+J7+J8+IF(ISNUMBER('A.4 — Fee per Ordine'!J39),'A.4 — Fee per Ordine'!J39,0)</f>
        <v>8861</v>
      </c>
      <c r="K9" s="21" t="n">
        <f aca="false">K6+K7+K8+IF(ISNUMBER('A.4 — Fee per Ordine'!K39),'A.4 — Fee per Ordine'!K39,0)</f>
        <v>10312</v>
      </c>
      <c r="L9" s="21" t="n">
        <f aca="false">L6+L7+L8+IF(ISNUMBER('A.4 — Fee per Ordine'!L39),'A.4 — Fee per Ordine'!L39,0)</f>
        <v>12173</v>
      </c>
      <c r="M9" s="21" t="n">
        <f aca="false">M6+M7+M8+IF(ISNUMBER('A.4 — Fee per Ordine'!M39),'A.4 — Fee per Ordine'!M39,0)</f>
        <v>13863</v>
      </c>
      <c r="N9" s="21" t="n">
        <f aca="false">N6+N7+N8+IF(ISNUMBER('A.4 — Fee per Ordine'!N39),'A.4 — Fee per Ordine'!N39,0)</f>
        <v>16823</v>
      </c>
      <c r="O9" s="21" t="n">
        <f aca="false">O6+O7+O8+IF(ISNUMBER('A.4 — Fee per Ordine'!O39),'A.4 — Fee per Ordine'!O39,0)</f>
        <v>18894</v>
      </c>
      <c r="P9" s="21" t="n">
        <f aca="false">P6+P7+P8+IF(ISNUMBER('A.4 — Fee per Ordine'!P39),'A.4 — Fee per Ordine'!P39,0)</f>
        <v>22094</v>
      </c>
      <c r="Q9" s="21" t="n">
        <f aca="false">Q6+Q7+Q8+IF(ISNUMBER('A.4 — Fee per Ordine'!Q39),'A.4 — Fee per Ordine'!Q39,0)</f>
        <v>24134</v>
      </c>
      <c r="R9" s="21" t="n">
        <f aca="false">R6+R7+R8+IF(ISNUMBER('A.4 — Fee per Ordine'!R39),'A.4 — Fee per Ordine'!R39,0)</f>
        <v>27674</v>
      </c>
      <c r="S9" s="21" t="n">
        <f aca="false">S6+S7+S8+IF(ISNUMBER('A.4 — Fee per Ordine'!S39),'A.4 — Fee per Ordine'!S39,0)</f>
        <v>30174</v>
      </c>
      <c r="T9" s="21" t="n">
        <f aca="false">SUM(B9:S9)</f>
        <v>208964</v>
      </c>
    </row>
    <row r="10" customFormat="false" ht="4.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customFormat="false" ht="18" hidden="false" customHeight="true" outlineLevel="0" collapsed="false">
      <c r="A11" s="6" t="s">
        <v>141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customFormat="false" ht="15" hidden="false" customHeight="true" outlineLevel="1" collapsed="false">
      <c r="A12" s="23" t="s">
        <v>142</v>
      </c>
      <c r="B12" s="24" t="n">
        <f aca="false">'B1 — Infrastruttura'!B18</f>
        <v>150</v>
      </c>
      <c r="C12" s="24" t="n">
        <f aca="false">'B1 — Infrastruttura'!C18</f>
        <v>175</v>
      </c>
      <c r="D12" s="24" t="n">
        <f aca="false">'B1 — Infrastruttura'!D18</f>
        <v>220</v>
      </c>
      <c r="E12" s="24" t="n">
        <f aca="false">'B1 — Infrastruttura'!E18</f>
        <v>277</v>
      </c>
      <c r="F12" s="24" t="n">
        <f aca="false">'B1 — Infrastruttura'!F18</f>
        <v>400</v>
      </c>
      <c r="G12" s="24" t="n">
        <f aca="false">'B1 — Infrastruttura'!G18</f>
        <v>513</v>
      </c>
      <c r="H12" s="24" t="n">
        <f aca="false">'B1 — Infrastruttura'!H18</f>
        <v>610</v>
      </c>
      <c r="I12" s="24" t="n">
        <f aca="false">'B1 — Infrastruttura'!I18</f>
        <v>733</v>
      </c>
      <c r="J12" s="24" t="n">
        <f aca="false">'B1 — Infrastruttura'!J18</f>
        <v>880</v>
      </c>
      <c r="K12" s="24" t="n">
        <f aca="false">'B1 — Infrastruttura'!K18</f>
        <v>1033</v>
      </c>
      <c r="L12" s="24" t="n">
        <f aca="false">'B1 — Infrastruttura'!L18</f>
        <v>1207</v>
      </c>
      <c r="M12" s="24" t="n">
        <f aca="false">'B1 — Infrastruttura'!M18</f>
        <v>1416</v>
      </c>
      <c r="N12" s="24" t="n">
        <f aca="false">'B1 — Infrastruttura'!N18</f>
        <v>1635</v>
      </c>
      <c r="O12" s="24" t="n">
        <f aca="false">'B1 — Infrastruttura'!O18</f>
        <v>1834</v>
      </c>
      <c r="P12" s="24" t="n">
        <f aca="false">'B1 — Infrastruttura'!P18</f>
        <v>2033</v>
      </c>
      <c r="Q12" s="24" t="n">
        <f aca="false">'B1 — Infrastruttura'!Q18</f>
        <v>2222</v>
      </c>
      <c r="R12" s="24" t="n">
        <f aca="false">'B1 — Infrastruttura'!R18</f>
        <v>2396</v>
      </c>
      <c r="S12" s="24" t="n">
        <f aca="false">'B1 — Infrastruttura'!S18</f>
        <v>2565</v>
      </c>
      <c r="T12" s="25" t="n">
        <f aca="false">SUM(B12:S12)</f>
        <v>20299</v>
      </c>
    </row>
    <row r="13" customFormat="false" ht="15" hidden="false" customHeight="true" outlineLevel="1" collapsed="false">
      <c r="A13" s="23" t="s">
        <v>143</v>
      </c>
      <c r="B13" s="24" t="n">
        <f aca="false">'B2 — Servizi'!B17</f>
        <v>267</v>
      </c>
      <c r="C13" s="24" t="n">
        <f aca="false">'B2 — Servizi'!C17</f>
        <v>272</v>
      </c>
      <c r="D13" s="24" t="n">
        <f aca="false">'B2 — Servizi'!D17</f>
        <v>292</v>
      </c>
      <c r="E13" s="24" t="n">
        <f aca="false">'B2 — Servizi'!E17</f>
        <v>327</v>
      </c>
      <c r="F13" s="24" t="n">
        <f aca="false">'B2 — Servizi'!F17</f>
        <v>357</v>
      </c>
      <c r="G13" s="24" t="n">
        <f aca="false">'B2 — Servizi'!G17</f>
        <v>387</v>
      </c>
      <c r="H13" s="24" t="n">
        <f aca="false">'B2 — Servizi'!H17</f>
        <v>427</v>
      </c>
      <c r="I13" s="24" t="n">
        <f aca="false">'B2 — Servizi'!I17</f>
        <v>467</v>
      </c>
      <c r="J13" s="24" t="n">
        <f aca="false">'B2 — Servizi'!J17</f>
        <v>507</v>
      </c>
      <c r="K13" s="24" t="n">
        <f aca="false">'B2 — Servizi'!K17</f>
        <v>552</v>
      </c>
      <c r="L13" s="24" t="n">
        <f aca="false">'B2 — Servizi'!L17</f>
        <v>642</v>
      </c>
      <c r="M13" s="24" t="n">
        <f aca="false">'B2 — Servizi'!M17</f>
        <v>682</v>
      </c>
      <c r="N13" s="24" t="n">
        <f aca="false">'B2 — Servizi'!N17</f>
        <v>782</v>
      </c>
      <c r="O13" s="24" t="n">
        <f aca="false">'B2 — Servizi'!O17</f>
        <v>817</v>
      </c>
      <c r="P13" s="24" t="n">
        <f aca="false">'B2 — Servizi'!P17</f>
        <v>897</v>
      </c>
      <c r="Q13" s="24" t="n">
        <f aca="false">'B2 — Servizi'!Q17</f>
        <v>942</v>
      </c>
      <c r="R13" s="24" t="n">
        <f aca="false">'B2 — Servizi'!R17</f>
        <v>1017</v>
      </c>
      <c r="S13" s="24" t="n">
        <f aca="false">'B2 — Servizi'!S17</f>
        <v>1072</v>
      </c>
      <c r="T13" s="25" t="n">
        <f aca="false">SUM(B13:S13)</f>
        <v>10706</v>
      </c>
    </row>
    <row r="14" customFormat="false" ht="15" hidden="false" customHeight="true" outlineLevel="1" collapsed="false">
      <c r="A14" s="26" t="s">
        <v>144</v>
      </c>
      <c r="B14" s="27" t="n">
        <f aca="false">'B3 — Marketing'!B28</f>
        <v>170</v>
      </c>
      <c r="C14" s="27" t="n">
        <f aca="false">'B3 — Marketing'!C28</f>
        <v>180</v>
      </c>
      <c r="D14" s="27" t="n">
        <f aca="false">'B3 — Marketing'!D28</f>
        <v>220</v>
      </c>
      <c r="E14" s="27" t="n">
        <f aca="false">'B3 — Marketing'!E28</f>
        <v>230</v>
      </c>
      <c r="F14" s="27" t="n">
        <f aca="false">'B3 — Marketing'!F28</f>
        <v>310</v>
      </c>
      <c r="G14" s="27" t="n">
        <f aca="false">'B3 — Marketing'!G28</f>
        <v>390</v>
      </c>
      <c r="H14" s="27" t="n">
        <f aca="false">'B3 — Marketing'!H28</f>
        <v>470</v>
      </c>
      <c r="I14" s="27" t="n">
        <f aca="false">'B3 — Marketing'!I28</f>
        <v>550</v>
      </c>
      <c r="J14" s="27" t="n">
        <f aca="false">'B3 — Marketing'!J28</f>
        <v>640</v>
      </c>
      <c r="K14" s="27" t="n">
        <f aca="false">'B3 — Marketing'!K28</f>
        <v>700</v>
      </c>
      <c r="L14" s="27" t="n">
        <f aca="false">'B3 — Marketing'!L28</f>
        <v>790</v>
      </c>
      <c r="M14" s="27" t="n">
        <f aca="false">'B3 — Marketing'!M28</f>
        <v>870</v>
      </c>
      <c r="N14" s="27" t="n">
        <f aca="false">'B3 — Marketing'!N28</f>
        <v>960</v>
      </c>
      <c r="O14" s="27" t="n">
        <f aca="false">'B3 — Marketing'!O28</f>
        <v>1040</v>
      </c>
      <c r="P14" s="27" t="n">
        <f aca="false">'B3 — Marketing'!P28</f>
        <v>1130</v>
      </c>
      <c r="Q14" s="27" t="n">
        <f aca="false">'B3 — Marketing'!Q28</f>
        <v>1210</v>
      </c>
      <c r="R14" s="27" t="n">
        <f aca="false">'B3 — Marketing'!R28</f>
        <v>1290</v>
      </c>
      <c r="S14" s="27" t="n">
        <f aca="false">'B3 — Marketing'!S28</f>
        <v>1370</v>
      </c>
      <c r="T14" s="28" t="n">
        <f aca="false">SUM(B14:S14)</f>
        <v>12520</v>
      </c>
    </row>
    <row r="15" customFormat="false" ht="15" hidden="false" customHeight="true" outlineLevel="1" collapsed="false">
      <c r="A15" s="29" t="s">
        <v>145</v>
      </c>
      <c r="B15" s="30" t="n">
        <f aca="false">'B4 — Personale'!B34</f>
        <v>3500</v>
      </c>
      <c r="C15" s="30" t="n">
        <f aca="false">'B4 — Personale'!C34</f>
        <v>3500</v>
      </c>
      <c r="D15" s="30" t="n">
        <f aca="false">'B4 — Personale'!D34</f>
        <v>3500</v>
      </c>
      <c r="E15" s="30" t="n">
        <f aca="false">'B4 — Personale'!E34</f>
        <v>5000</v>
      </c>
      <c r="F15" s="30" t="n">
        <f aca="false">'B4 — Personale'!F34</f>
        <v>6200</v>
      </c>
      <c r="G15" s="30" t="n">
        <f aca="false">'B4 — Personale'!G34</f>
        <v>6900</v>
      </c>
      <c r="H15" s="30" t="n">
        <f aca="false">'B4 — Personale'!H34</f>
        <v>9400</v>
      </c>
      <c r="I15" s="30" t="n">
        <f aca="false">'B4 — Personale'!I34</f>
        <v>9400</v>
      </c>
      <c r="J15" s="30" t="n">
        <f aca="false">'B4 — Personale'!J34</f>
        <v>9400</v>
      </c>
      <c r="K15" s="30" t="n">
        <f aca="false">'B4 — Personale'!K34</f>
        <v>9400</v>
      </c>
      <c r="L15" s="30" t="n">
        <f aca="false">'B4 — Personale'!L34</f>
        <v>11100</v>
      </c>
      <c r="M15" s="30" t="n">
        <f aca="false">'B4 — Personale'!M34</f>
        <v>11100</v>
      </c>
      <c r="N15" s="30" t="n">
        <f aca="false">'B4 — Personale'!N34</f>
        <v>11100</v>
      </c>
      <c r="O15" s="30" t="n">
        <f aca="false">'B4 — Personale'!O34</f>
        <v>13500</v>
      </c>
      <c r="P15" s="30" t="n">
        <f aca="false">'B4 — Personale'!P34</f>
        <v>13500</v>
      </c>
      <c r="Q15" s="30" t="n">
        <f aca="false">'B4 — Personale'!Q34</f>
        <v>13500</v>
      </c>
      <c r="R15" s="30" t="n">
        <f aca="false">'B4 — Personale'!R34</f>
        <v>13500</v>
      </c>
      <c r="S15" s="30" t="n">
        <f aca="false">'B4 — Personale'!S34</f>
        <v>13500</v>
      </c>
      <c r="T15" s="31" t="n">
        <f aca="false">SUM(B15:S15)</f>
        <v>167000</v>
      </c>
    </row>
    <row r="16" customFormat="false" ht="15" hidden="false" customHeight="true" outlineLevel="1" collapsed="false">
      <c r="A16" s="23" t="s">
        <v>146</v>
      </c>
      <c r="B16" s="24" t="n">
        <f aca="false">'B5 — Ammortamenti'!B14</f>
        <v>200</v>
      </c>
      <c r="C16" s="24" t="n">
        <f aca="false">'B5 — Ammortamenti'!C14</f>
        <v>200</v>
      </c>
      <c r="D16" s="24" t="n">
        <f aca="false">'B5 — Ammortamenti'!D14</f>
        <v>200</v>
      </c>
      <c r="E16" s="24" t="n">
        <f aca="false">'B5 — Ammortamenti'!E14</f>
        <v>200</v>
      </c>
      <c r="F16" s="24" t="n">
        <f aca="false">'B5 — Ammortamenti'!F14</f>
        <v>200</v>
      </c>
      <c r="G16" s="24" t="n">
        <f aca="false">'B5 — Ammortamenti'!G14</f>
        <v>200</v>
      </c>
      <c r="H16" s="24" t="n">
        <f aca="false">'B5 — Ammortamenti'!H14</f>
        <v>200</v>
      </c>
      <c r="I16" s="24" t="n">
        <f aca="false">'B5 — Ammortamenti'!I14</f>
        <v>200</v>
      </c>
      <c r="J16" s="24" t="n">
        <f aca="false">'B5 — Ammortamenti'!J14</f>
        <v>200</v>
      </c>
      <c r="K16" s="24" t="n">
        <f aca="false">'B5 — Ammortamenti'!K14</f>
        <v>200</v>
      </c>
      <c r="L16" s="24" t="n">
        <f aca="false">'B5 — Ammortamenti'!L14</f>
        <v>200</v>
      </c>
      <c r="M16" s="24" t="n">
        <f aca="false">'B5 — Ammortamenti'!M14</f>
        <v>200</v>
      </c>
      <c r="N16" s="24" t="n">
        <f aca="false">'B5 — Ammortamenti'!N14</f>
        <v>200</v>
      </c>
      <c r="O16" s="24" t="n">
        <f aca="false">'B5 — Ammortamenti'!O14</f>
        <v>200</v>
      </c>
      <c r="P16" s="24" t="n">
        <f aca="false">'B5 — Ammortamenti'!P14</f>
        <v>200</v>
      </c>
      <c r="Q16" s="24" t="n">
        <f aca="false">'B5 — Ammortamenti'!Q14</f>
        <v>200</v>
      </c>
      <c r="R16" s="24" t="n">
        <f aca="false">'B5 — Ammortamenti'!R14</f>
        <v>200</v>
      </c>
      <c r="S16" s="24" t="n">
        <f aca="false">'B5 — Ammortamenti'!S14</f>
        <v>200</v>
      </c>
      <c r="T16" s="25" t="n">
        <f aca="false">SUM(B16:S16)</f>
        <v>3600</v>
      </c>
    </row>
    <row r="17" customFormat="false" ht="15" hidden="false" customHeight="true" outlineLevel="1" collapsed="false">
      <c r="A17" s="23" t="s">
        <v>147</v>
      </c>
      <c r="B17" s="24" t="n">
        <f aca="false">'B6 — Costi Variabili'!B16</f>
        <v>42</v>
      </c>
      <c r="C17" s="24" t="n">
        <f aca="false">'B6 — Costi Variabili'!C16</f>
        <v>77</v>
      </c>
      <c r="D17" s="24" t="n">
        <f aca="false">'B6 — Costi Variabili'!D16</f>
        <v>128</v>
      </c>
      <c r="E17" s="24" t="n">
        <f aca="false">'B6 — Costi Variabili'!E16</f>
        <v>198</v>
      </c>
      <c r="F17" s="24" t="n">
        <f aca="false">'B6 — Costi Variabili'!F16</f>
        <v>284</v>
      </c>
      <c r="G17" s="24" t="n">
        <f aca="false">'B6 — Costi Variabili'!G16</f>
        <v>384</v>
      </c>
      <c r="H17" s="24" t="n">
        <f aca="false">'B6 — Costi Variabili'!H16</f>
        <v>493</v>
      </c>
      <c r="I17" s="24" t="n">
        <f aca="false">'B6 — Costi Variabili'!I16</f>
        <v>614</v>
      </c>
      <c r="J17" s="24" t="n">
        <f aca="false">'B6 — Costi Variabili'!J16</f>
        <v>744</v>
      </c>
      <c r="K17" s="24" t="n">
        <f aca="false">'B6 — Costi Variabili'!K16</f>
        <v>867</v>
      </c>
      <c r="L17" s="24" t="n">
        <f aca="false">'B6 — Costi Variabili'!L16</f>
        <v>1004</v>
      </c>
      <c r="M17" s="24" t="n">
        <f aca="false">'B6 — Costi Variabili'!M16</f>
        <v>1164</v>
      </c>
      <c r="N17" s="24" t="n">
        <f aca="false">'B6 — Costi Variabili'!N16</f>
        <v>1336</v>
      </c>
      <c r="O17" s="24" t="n">
        <f aca="false">'B6 — Costi Variabili'!O16</f>
        <v>1494</v>
      </c>
      <c r="P17" s="24" t="n">
        <f aca="false">'B6 — Costi Variabili'!P16</f>
        <v>1666</v>
      </c>
      <c r="Q17" s="24" t="n">
        <f aca="false">'B6 — Costi Variabili'!Q16</f>
        <v>1826</v>
      </c>
      <c r="R17" s="24" t="n">
        <f aca="false">'B6 — Costi Variabili'!R16</f>
        <v>1984</v>
      </c>
      <c r="S17" s="24" t="n">
        <f aca="false">'B6 — Costi Variabili'!S16</f>
        <v>2142</v>
      </c>
      <c r="T17" s="25" t="n">
        <f aca="false">SUM(B17:S17)</f>
        <v>16447</v>
      </c>
    </row>
    <row r="18" customFormat="false" ht="19.5" hidden="false" customHeight="true" outlineLevel="0" collapsed="false">
      <c r="A18" s="32" t="s">
        <v>148</v>
      </c>
      <c r="B18" s="33" t="n">
        <f aca="false">B12+B13+B14+B15+B16+B17</f>
        <v>4329</v>
      </c>
      <c r="C18" s="33" t="n">
        <f aca="false">C12+C13+C14+C15+C16+C17</f>
        <v>4404</v>
      </c>
      <c r="D18" s="33" t="n">
        <f aca="false">D12+D13+D14+D15+D16+D17</f>
        <v>4560</v>
      </c>
      <c r="E18" s="33" t="n">
        <f aca="false">E12+E13+E14+E15+E16+E17</f>
        <v>6232</v>
      </c>
      <c r="F18" s="33" t="n">
        <f aca="false">F12+F13+F14+F15+F16+F17</f>
        <v>7751</v>
      </c>
      <c r="G18" s="33" t="n">
        <f aca="false">G12+G13+G14+G15+G16+G17</f>
        <v>8774</v>
      </c>
      <c r="H18" s="33" t="n">
        <f aca="false">H12+H13+H14+H15+H16+H17</f>
        <v>11600</v>
      </c>
      <c r="I18" s="33" t="n">
        <f aca="false">I12+I13+I14+I15+I16+I17</f>
        <v>11964</v>
      </c>
      <c r="J18" s="33" t="n">
        <f aca="false">J12+J13+J14+J15+J16+J17</f>
        <v>12371</v>
      </c>
      <c r="K18" s="33" t="n">
        <f aca="false">K12+K13+K14+K15+K16+K17</f>
        <v>12752</v>
      </c>
      <c r="L18" s="33" t="n">
        <f aca="false">L12+L13+L14+L15+L16+L17</f>
        <v>14943</v>
      </c>
      <c r="M18" s="33" t="n">
        <f aca="false">M12+M13+M14+M15+M16+M17</f>
        <v>15432</v>
      </c>
      <c r="N18" s="33" t="n">
        <f aca="false">N12+N13+N14+N15+N16+N17</f>
        <v>16013</v>
      </c>
      <c r="O18" s="33" t="n">
        <f aca="false">O12+O13+O14+O15+O16+O17</f>
        <v>18885</v>
      </c>
      <c r="P18" s="33" t="n">
        <f aca="false">P12+P13+P14+P15+P16+P17</f>
        <v>19426</v>
      </c>
      <c r="Q18" s="33" t="n">
        <f aca="false">Q12+Q13+Q14+Q15+Q16+Q17</f>
        <v>19900</v>
      </c>
      <c r="R18" s="33" t="n">
        <f aca="false">R12+R13+R14+R15+R16+R17</f>
        <v>20387</v>
      </c>
      <c r="S18" s="33" t="n">
        <f aca="false">S12+S13+S14+S15+S16+S17</f>
        <v>20849</v>
      </c>
      <c r="T18" s="33" t="n">
        <f aca="false">SUM(B18:S18)</f>
        <v>230572</v>
      </c>
    </row>
    <row r="19" customFormat="false" ht="4.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customFormat="false" ht="21.75" hidden="false" customHeight="true" outlineLevel="0" collapsed="false">
      <c r="A20" s="34" t="s">
        <v>149</v>
      </c>
      <c r="B20" s="35" t="n">
        <f aca="false">B9-B18</f>
        <v>-4133</v>
      </c>
      <c r="C20" s="35" t="n">
        <f aca="false">C9-C18</f>
        <v>-4051</v>
      </c>
      <c r="D20" s="35" t="n">
        <f aca="false">D9-D18</f>
        <v>-3504</v>
      </c>
      <c r="E20" s="35" t="n">
        <f aca="false">E9-E18</f>
        <v>-4231</v>
      </c>
      <c r="F20" s="35" t="n">
        <f aca="false">F9-F18</f>
        <v>-4767</v>
      </c>
      <c r="G20" s="35" t="n">
        <f aca="false">G9-G18</f>
        <v>-4489</v>
      </c>
      <c r="H20" s="35" t="n">
        <f aca="false">H9-H18</f>
        <v>-5772</v>
      </c>
      <c r="I20" s="35" t="n">
        <f aca="false">I9-I18</f>
        <v>-4705</v>
      </c>
      <c r="J20" s="35" t="n">
        <f aca="false">J9-J18</f>
        <v>-3510</v>
      </c>
      <c r="K20" s="35" t="n">
        <f aca="false">K9-K18</f>
        <v>-2440</v>
      </c>
      <c r="L20" s="35" t="n">
        <f aca="false">L9-L18</f>
        <v>-2770</v>
      </c>
      <c r="M20" s="35" t="n">
        <f aca="false">M9-M18</f>
        <v>-1569</v>
      </c>
      <c r="N20" s="35" t="n">
        <f aca="false">N9-N18</f>
        <v>810</v>
      </c>
      <c r="O20" s="35" t="n">
        <f aca="false">O9-O18</f>
        <v>9</v>
      </c>
      <c r="P20" s="35" t="n">
        <f aca="false">P9-P18</f>
        <v>2668</v>
      </c>
      <c r="Q20" s="35" t="n">
        <f aca="false">Q9-Q18</f>
        <v>4234</v>
      </c>
      <c r="R20" s="35" t="n">
        <f aca="false">R9-R18</f>
        <v>7287</v>
      </c>
      <c r="S20" s="35" t="n">
        <f aca="false">S9-S18</f>
        <v>9325</v>
      </c>
      <c r="T20" s="35" t="n">
        <f aca="false">SUM(B20:S20)</f>
        <v>-21608</v>
      </c>
    </row>
    <row r="21" customFormat="false" ht="4.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customFormat="false" ht="18" hidden="false" customHeight="true" outlineLevel="0" collapsed="false">
      <c r="A22" s="6" t="s">
        <v>150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customFormat="false" ht="15" hidden="false" customHeight="true" outlineLevel="1" collapsed="false">
      <c r="A23" s="7" t="s">
        <v>151</v>
      </c>
      <c r="B23" s="18" t="n">
        <f aca="false">'C-D — Finanziari'!B8</f>
        <v>0</v>
      </c>
      <c r="C23" s="18" t="n">
        <f aca="false">'C-D — Finanziari'!C8</f>
        <v>0</v>
      </c>
      <c r="D23" s="18" t="n">
        <f aca="false">'C-D — Finanziari'!D8</f>
        <v>0</v>
      </c>
      <c r="E23" s="18" t="n">
        <f aca="false">'C-D — Finanziari'!E8</f>
        <v>50</v>
      </c>
      <c r="F23" s="18" t="n">
        <f aca="false">'C-D — Finanziari'!F8</f>
        <v>50</v>
      </c>
      <c r="G23" s="18" t="n">
        <f aca="false">'C-D — Finanziari'!G8</f>
        <v>50</v>
      </c>
      <c r="H23" s="18" t="n">
        <f aca="false">'C-D — Finanziari'!H8</f>
        <v>80</v>
      </c>
      <c r="I23" s="18" t="n">
        <f aca="false">'C-D — Finanziari'!I8</f>
        <v>80</v>
      </c>
      <c r="J23" s="18" t="n">
        <f aca="false">'C-D — Finanziari'!J8</f>
        <v>80</v>
      </c>
      <c r="K23" s="18" t="n">
        <f aca="false">'C-D — Finanziari'!K8</f>
        <v>80</v>
      </c>
      <c r="L23" s="18" t="n">
        <f aca="false">'C-D — Finanziari'!L8</f>
        <v>100</v>
      </c>
      <c r="M23" s="18" t="n">
        <f aca="false">'C-D — Finanziari'!M8</f>
        <v>100</v>
      </c>
      <c r="N23" s="18" t="n">
        <f aca="false">'C-D — Finanziari'!N8</f>
        <v>120</v>
      </c>
      <c r="O23" s="18" t="n">
        <f aca="false">'C-D — Finanziari'!O8</f>
        <v>120</v>
      </c>
      <c r="P23" s="18" t="n">
        <f aca="false">'C-D — Finanziari'!P8</f>
        <v>120</v>
      </c>
      <c r="Q23" s="18" t="n">
        <f aca="false">'C-D — Finanziari'!Q8</f>
        <v>120</v>
      </c>
      <c r="R23" s="18" t="n">
        <f aca="false">'C-D — Finanziari'!R8</f>
        <v>150</v>
      </c>
      <c r="S23" s="18" t="n">
        <f aca="false">'C-D — Finanziari'!S8</f>
        <v>150</v>
      </c>
      <c r="T23" s="19" t="n">
        <f aca="false">SUM(B23:S23)</f>
        <v>1450</v>
      </c>
    </row>
    <row r="24" customFormat="false" ht="15" hidden="false" customHeight="true" outlineLevel="1" collapsed="false">
      <c r="A24" s="7" t="s">
        <v>152</v>
      </c>
      <c r="B24" s="18" t="n">
        <f aca="false">'C-D — Finanziari'!B10</f>
        <v>0</v>
      </c>
      <c r="C24" s="18" t="n">
        <f aca="false">'C-D — Finanziari'!C10</f>
        <v>0</v>
      </c>
      <c r="D24" s="18" t="n">
        <f aca="false">'C-D — Finanziari'!D10</f>
        <v>0</v>
      </c>
      <c r="E24" s="18" t="n">
        <f aca="false">'C-D — Finanziari'!E10</f>
        <v>0</v>
      </c>
      <c r="F24" s="18" t="n">
        <f aca="false">'C-D — Finanziari'!F10</f>
        <v>0</v>
      </c>
      <c r="G24" s="18" t="n">
        <f aca="false">'C-D — Finanziari'!G10</f>
        <v>0</v>
      </c>
      <c r="H24" s="18" t="n">
        <f aca="false">'C-D — Finanziari'!H10</f>
        <v>0</v>
      </c>
      <c r="I24" s="18" t="n">
        <f aca="false">'C-D — Finanziari'!I10</f>
        <v>0</v>
      </c>
      <c r="J24" s="18" t="n">
        <f aca="false">'C-D — Finanziari'!J10</f>
        <v>0</v>
      </c>
      <c r="K24" s="18" t="n">
        <f aca="false">'C-D — Finanziari'!K10</f>
        <v>0</v>
      </c>
      <c r="L24" s="18" t="n">
        <f aca="false">'C-D — Finanziari'!L10</f>
        <v>0</v>
      </c>
      <c r="M24" s="18" t="n">
        <f aca="false">'C-D — Finanziari'!M10</f>
        <v>0</v>
      </c>
      <c r="N24" s="18" t="n">
        <f aca="false">'C-D — Finanziari'!N10</f>
        <v>0</v>
      </c>
      <c r="O24" s="18" t="n">
        <f aca="false">'C-D — Finanziari'!O10</f>
        <v>0</v>
      </c>
      <c r="P24" s="18" t="n">
        <f aca="false">'C-D — Finanziari'!P10</f>
        <v>0</v>
      </c>
      <c r="Q24" s="18" t="n">
        <f aca="false">'C-D — Finanziari'!Q10</f>
        <v>0</v>
      </c>
      <c r="R24" s="18" t="n">
        <f aca="false">'C-D — Finanziari'!R10</f>
        <v>0</v>
      </c>
      <c r="S24" s="18" t="n">
        <f aca="false">'C-D — Finanziari'!S10</f>
        <v>0</v>
      </c>
      <c r="T24" s="19" t="n">
        <f aca="false">SUM(B24:S24)</f>
        <v>0</v>
      </c>
    </row>
    <row r="25" customFormat="false" ht="19.5" hidden="false" customHeight="true" outlineLevel="0" collapsed="false">
      <c r="A25" s="32" t="s">
        <v>153</v>
      </c>
      <c r="B25" s="33" t="n">
        <f aca="false">B20+B23-B24</f>
        <v>-4133</v>
      </c>
      <c r="C25" s="33" t="n">
        <f aca="false">C20+C23-C24</f>
        <v>-4051</v>
      </c>
      <c r="D25" s="33" t="n">
        <f aca="false">D20+D23-D24</f>
        <v>-3504</v>
      </c>
      <c r="E25" s="33" t="n">
        <f aca="false">E20+E23-E24</f>
        <v>-4181</v>
      </c>
      <c r="F25" s="33" t="n">
        <f aca="false">F20+F23-F24</f>
        <v>-4717</v>
      </c>
      <c r="G25" s="33" t="n">
        <f aca="false">G20+G23-G24</f>
        <v>-4439</v>
      </c>
      <c r="H25" s="33" t="n">
        <f aca="false">H20+H23-H24</f>
        <v>-5692</v>
      </c>
      <c r="I25" s="33" t="n">
        <f aca="false">I20+I23-I24</f>
        <v>-4625</v>
      </c>
      <c r="J25" s="33" t="n">
        <f aca="false">J20+J23-J24</f>
        <v>-3430</v>
      </c>
      <c r="K25" s="33" t="n">
        <f aca="false">K20+K23-K24</f>
        <v>-2360</v>
      </c>
      <c r="L25" s="33" t="n">
        <f aca="false">L20+L23-L24</f>
        <v>-2670</v>
      </c>
      <c r="M25" s="33" t="n">
        <f aca="false">M20+M23-M24</f>
        <v>-1469</v>
      </c>
      <c r="N25" s="33" t="n">
        <f aca="false">N20+N23-N24</f>
        <v>930</v>
      </c>
      <c r="O25" s="33" t="n">
        <f aca="false">O20+O23-O24</f>
        <v>129</v>
      </c>
      <c r="P25" s="33" t="n">
        <f aca="false">P20+P23-P24</f>
        <v>2788</v>
      </c>
      <c r="Q25" s="33" t="n">
        <f aca="false">Q20+Q23-Q24</f>
        <v>4354</v>
      </c>
      <c r="R25" s="33" t="n">
        <f aca="false">R20+R23-R24</f>
        <v>7437</v>
      </c>
      <c r="S25" s="33" t="n">
        <f aca="false">S20+S23-S24</f>
        <v>9475</v>
      </c>
      <c r="T25" s="33" t="n">
        <f aca="false">SUM(B25:S25)</f>
        <v>-20158</v>
      </c>
    </row>
    <row r="26" customFormat="false" ht="4.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</row>
    <row r="27" customFormat="false" ht="18" hidden="false" customHeight="true" outlineLevel="0" collapsed="false">
      <c r="A27" s="6" t="s">
        <v>154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customFormat="false" ht="15" hidden="false" customHeight="true" outlineLevel="1" collapsed="false">
      <c r="A28" s="7" t="s">
        <v>155</v>
      </c>
      <c r="B28" s="18" t="n">
        <f aca="false">MAX(0,B25*0.279)</f>
        <v>0</v>
      </c>
      <c r="C28" s="18" t="n">
        <f aca="false">MAX(0,C25*0.279)</f>
        <v>0</v>
      </c>
      <c r="D28" s="18" t="n">
        <f aca="false">MAX(0,D25*0.279)</f>
        <v>0</v>
      </c>
      <c r="E28" s="18" t="n">
        <f aca="false">MAX(0,E25*0.279)</f>
        <v>0</v>
      </c>
      <c r="F28" s="18" t="n">
        <f aca="false">MAX(0,F25*0.279)</f>
        <v>0</v>
      </c>
      <c r="G28" s="18" t="n">
        <f aca="false">MAX(0,G25*0.279)</f>
        <v>0</v>
      </c>
      <c r="H28" s="18" t="n">
        <f aca="false">MAX(0,H25*0.279)</f>
        <v>0</v>
      </c>
      <c r="I28" s="18" t="n">
        <f aca="false">MAX(0,I25*0.279)</f>
        <v>0</v>
      </c>
      <c r="J28" s="18" t="n">
        <f aca="false">MAX(0,J25*0.279)</f>
        <v>0</v>
      </c>
      <c r="K28" s="18" t="n">
        <f aca="false">MAX(0,K25*0.279)</f>
        <v>0</v>
      </c>
      <c r="L28" s="18" t="n">
        <f aca="false">MAX(0,L25*0.279)</f>
        <v>0</v>
      </c>
      <c r="M28" s="18" t="n">
        <f aca="false">MAX(0,M25*0.279)</f>
        <v>0</v>
      </c>
      <c r="N28" s="18" t="n">
        <f aca="false">MAX(0,N25*0.279)</f>
        <v>259.47</v>
      </c>
      <c r="O28" s="18" t="n">
        <f aca="false">MAX(0,O25*0.279)</f>
        <v>35.991</v>
      </c>
      <c r="P28" s="18" t="n">
        <f aca="false">MAX(0,P25*0.279)</f>
        <v>777.852</v>
      </c>
      <c r="Q28" s="18" t="n">
        <f aca="false">MAX(0,Q25*0.279)</f>
        <v>1214.766</v>
      </c>
      <c r="R28" s="18" t="n">
        <f aca="false">MAX(0,R25*0.279)</f>
        <v>2074.923</v>
      </c>
      <c r="S28" s="18" t="n">
        <f aca="false">MAX(0,S25*0.279)</f>
        <v>2643.525</v>
      </c>
      <c r="T28" s="19" t="n">
        <f aca="false">SUM(B28:S28)</f>
        <v>7006.527</v>
      </c>
    </row>
    <row r="29" customFormat="false" ht="4.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0" customFormat="false" ht="24" hidden="false" customHeight="true" outlineLevel="0" collapsed="false">
      <c r="A30" s="36" t="s">
        <v>156</v>
      </c>
      <c r="B30" s="37" t="n">
        <f aca="false">B25-B28</f>
        <v>-4133</v>
      </c>
      <c r="C30" s="37" t="n">
        <f aca="false">C25-C28</f>
        <v>-4051</v>
      </c>
      <c r="D30" s="37" t="n">
        <f aca="false">D25-D28</f>
        <v>-3504</v>
      </c>
      <c r="E30" s="37" t="n">
        <f aca="false">E25-E28</f>
        <v>-4181</v>
      </c>
      <c r="F30" s="37" t="n">
        <f aca="false">F25-F28</f>
        <v>-4717</v>
      </c>
      <c r="G30" s="37" t="n">
        <f aca="false">G25-G28</f>
        <v>-4439</v>
      </c>
      <c r="H30" s="37" t="n">
        <f aca="false">H25-H28</f>
        <v>-5692</v>
      </c>
      <c r="I30" s="37" t="n">
        <f aca="false">I25-I28</f>
        <v>-4625</v>
      </c>
      <c r="J30" s="37" t="n">
        <f aca="false">J25-J28</f>
        <v>-3430</v>
      </c>
      <c r="K30" s="37" t="n">
        <f aca="false">K25-K28</f>
        <v>-2360</v>
      </c>
      <c r="L30" s="37" t="n">
        <f aca="false">L25-L28</f>
        <v>-2670</v>
      </c>
      <c r="M30" s="37" t="n">
        <f aca="false">M25-M28</f>
        <v>-1469</v>
      </c>
      <c r="N30" s="37" t="n">
        <f aca="false">N25-N28</f>
        <v>670.53</v>
      </c>
      <c r="O30" s="37" t="n">
        <f aca="false">O25-O28</f>
        <v>93.009</v>
      </c>
      <c r="P30" s="37" t="n">
        <f aca="false">P25-P28</f>
        <v>2010.148</v>
      </c>
      <c r="Q30" s="37" t="n">
        <f aca="false">Q25-Q28</f>
        <v>3139.234</v>
      </c>
      <c r="R30" s="37" t="n">
        <f aca="false">R25-R28</f>
        <v>5362.077</v>
      </c>
      <c r="S30" s="37" t="n">
        <f aca="false">S25-S28</f>
        <v>6831.475</v>
      </c>
      <c r="T30" s="37" t="n">
        <f aca="false">SUM(B30:S30)</f>
        <v>-27164.527</v>
      </c>
    </row>
    <row r="31" customFormat="false" ht="4.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customFormat="false" ht="15.75" hidden="false" customHeight="true" outlineLevel="0" collapsed="false">
      <c r="A32" s="38" t="s">
        <v>157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</row>
  </sheetData>
  <mergeCells count="13">
    <mergeCell ref="A1:T1"/>
    <mergeCell ref="A2:T2"/>
    <mergeCell ref="A5:T5"/>
    <mergeCell ref="A10:T10"/>
    <mergeCell ref="A11:T11"/>
    <mergeCell ref="A19:T19"/>
    <mergeCell ref="A21:T21"/>
    <mergeCell ref="A22:T22"/>
    <mergeCell ref="A26:T26"/>
    <mergeCell ref="A27:T27"/>
    <mergeCell ref="A29:T29"/>
    <mergeCell ref="A31:T31"/>
    <mergeCell ref="A32:T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39" t="s">
        <v>158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customFormat="false" ht="13.5" hidden="false" customHeight="true" outlineLevel="0" collapsed="false">
      <c r="A2" s="3" t="s">
        <v>159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8" hidden="false" customHeight="true" outlineLevel="0" collapsed="false">
      <c r="A4" s="6" t="s">
        <v>160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customFormat="false" ht="15.75" hidden="false" customHeight="true" outlineLevel="0" collapsed="false">
      <c r="A5" s="40" t="s">
        <v>161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customFormat="false" ht="15" hidden="false" customHeight="true" outlineLevel="0" collapsed="false">
      <c r="A6" s="41" t="s">
        <v>162</v>
      </c>
      <c r="B6" s="42" t="n">
        <v>3</v>
      </c>
      <c r="C6" s="42" t="n">
        <v>5</v>
      </c>
      <c r="D6" s="42" t="n">
        <v>8</v>
      </c>
      <c r="E6" s="42" t="n">
        <v>11</v>
      </c>
      <c r="F6" s="42" t="n">
        <v>15</v>
      </c>
      <c r="G6" s="42" t="n">
        <v>20</v>
      </c>
      <c r="H6" s="42" t="n">
        <v>24</v>
      </c>
      <c r="I6" s="42" t="n">
        <v>29</v>
      </c>
      <c r="J6" s="42" t="n">
        <v>34</v>
      </c>
      <c r="K6" s="42" t="n">
        <v>38</v>
      </c>
      <c r="L6" s="42" t="n">
        <v>43</v>
      </c>
      <c r="M6" s="42" t="n">
        <v>48</v>
      </c>
      <c r="N6" s="42" t="n">
        <v>53</v>
      </c>
      <c r="O6" s="42" t="n">
        <v>57</v>
      </c>
      <c r="P6" s="42" t="n">
        <v>61</v>
      </c>
      <c r="Q6" s="42" t="n">
        <v>65</v>
      </c>
      <c r="R6" s="42" t="n">
        <v>68</v>
      </c>
      <c r="S6" s="42" t="n">
        <v>72</v>
      </c>
      <c r="T6" s="43" t="n">
        <f aca="false">SUM(B6:S6)</f>
        <v>654</v>
      </c>
    </row>
    <row r="7" customFormat="false" ht="15" hidden="false" customHeight="true" outlineLevel="0" collapsed="false">
      <c r="A7" s="41" t="s">
        <v>163</v>
      </c>
      <c r="B7" s="42" t="n">
        <v>1</v>
      </c>
      <c r="C7" s="42" t="n">
        <v>2</v>
      </c>
      <c r="D7" s="42" t="n">
        <v>4</v>
      </c>
      <c r="E7" s="42" t="n">
        <v>6</v>
      </c>
      <c r="F7" s="42" t="n">
        <v>8</v>
      </c>
      <c r="G7" s="42" t="n">
        <v>10</v>
      </c>
      <c r="H7" s="42" t="n">
        <v>13</v>
      </c>
      <c r="I7" s="42" t="n">
        <v>16</v>
      </c>
      <c r="J7" s="42" t="n">
        <v>19</v>
      </c>
      <c r="K7" s="42" t="n">
        <v>23</v>
      </c>
      <c r="L7" s="42" t="n">
        <v>27</v>
      </c>
      <c r="M7" s="42" t="n">
        <v>31</v>
      </c>
      <c r="N7" s="42" t="n">
        <v>35</v>
      </c>
      <c r="O7" s="42" t="n">
        <v>38</v>
      </c>
      <c r="P7" s="42" t="n">
        <v>42</v>
      </c>
      <c r="Q7" s="42" t="n">
        <v>46</v>
      </c>
      <c r="R7" s="42" t="n">
        <v>49</v>
      </c>
      <c r="S7" s="42" t="n">
        <v>52</v>
      </c>
      <c r="T7" s="43" t="n">
        <f aca="false">SUM(B7:S7)</f>
        <v>422</v>
      </c>
    </row>
    <row r="8" customFormat="false" ht="15" hidden="false" customHeight="true" outlineLevel="0" collapsed="false">
      <c r="A8" s="41" t="s">
        <v>164</v>
      </c>
      <c r="B8" s="44" t="n">
        <v>0</v>
      </c>
      <c r="C8" s="44" t="n">
        <v>0</v>
      </c>
      <c r="D8" s="42" t="n">
        <v>1</v>
      </c>
      <c r="E8" s="42" t="n">
        <v>2</v>
      </c>
      <c r="F8" s="42" t="n">
        <v>3</v>
      </c>
      <c r="G8" s="42" t="n">
        <v>4</v>
      </c>
      <c r="H8" s="42" t="n">
        <v>5</v>
      </c>
      <c r="I8" s="42" t="n">
        <v>6</v>
      </c>
      <c r="J8" s="42" t="n">
        <v>7</v>
      </c>
      <c r="K8" s="42" t="n">
        <v>8</v>
      </c>
      <c r="L8" s="42" t="n">
        <v>10</v>
      </c>
      <c r="M8" s="42" t="n">
        <v>12</v>
      </c>
      <c r="N8" s="42" t="n">
        <v>14</v>
      </c>
      <c r="O8" s="42" t="n">
        <v>16</v>
      </c>
      <c r="P8" s="42" t="n">
        <v>18</v>
      </c>
      <c r="Q8" s="42" t="n">
        <v>20</v>
      </c>
      <c r="R8" s="42" t="n">
        <v>22</v>
      </c>
      <c r="S8" s="42" t="n">
        <v>24</v>
      </c>
      <c r="T8" s="43" t="n">
        <f aca="false">SUM(B8:S8)</f>
        <v>172</v>
      </c>
    </row>
    <row r="9" customFormat="false" ht="18.75" hidden="false" customHeight="true" outlineLevel="0" collapsed="false">
      <c r="A9" s="45" t="s">
        <v>165</v>
      </c>
      <c r="B9" s="46" t="n">
        <f aca="false">SUM(B6:B8)</f>
        <v>4</v>
      </c>
      <c r="C9" s="46" t="n">
        <f aca="false">SUM(C6:C8)</f>
        <v>7</v>
      </c>
      <c r="D9" s="46" t="n">
        <f aca="false">SUM(D6:D8)</f>
        <v>13</v>
      </c>
      <c r="E9" s="46" t="n">
        <f aca="false">SUM(E6:E8)</f>
        <v>19</v>
      </c>
      <c r="F9" s="46" t="n">
        <f aca="false">SUM(F6:F8)</f>
        <v>26</v>
      </c>
      <c r="G9" s="46" t="n">
        <f aca="false">SUM(G6:G8)</f>
        <v>34</v>
      </c>
      <c r="H9" s="46" t="n">
        <f aca="false">SUM(H6:H8)</f>
        <v>42</v>
      </c>
      <c r="I9" s="46" t="n">
        <f aca="false">SUM(I6:I8)</f>
        <v>51</v>
      </c>
      <c r="J9" s="46" t="n">
        <f aca="false">SUM(J6:J8)</f>
        <v>60</v>
      </c>
      <c r="K9" s="46" t="n">
        <f aca="false">SUM(K6:K8)</f>
        <v>69</v>
      </c>
      <c r="L9" s="46" t="n">
        <f aca="false">SUM(L6:L8)</f>
        <v>80</v>
      </c>
      <c r="M9" s="46" t="n">
        <f aca="false">SUM(M6:M8)</f>
        <v>91</v>
      </c>
      <c r="N9" s="46" t="n">
        <f aca="false">SUM(N6:N8)</f>
        <v>102</v>
      </c>
      <c r="O9" s="46" t="n">
        <f aca="false">SUM(O6:O8)</f>
        <v>111</v>
      </c>
      <c r="P9" s="46" t="n">
        <f aca="false">SUM(P6:P8)</f>
        <v>121</v>
      </c>
      <c r="Q9" s="46" t="n">
        <f aca="false">SUM(Q6:Q8)</f>
        <v>131</v>
      </c>
      <c r="R9" s="46" t="n">
        <f aca="false">SUM(R6:R8)</f>
        <v>139</v>
      </c>
      <c r="S9" s="46" t="n">
        <f aca="false">SUM(S6:S8)</f>
        <v>148</v>
      </c>
      <c r="T9" s="46" t="n">
        <f aca="false">SUM(B9:S9)</f>
        <v>1248</v>
      </c>
    </row>
    <row r="10" customFormat="false" ht="15" hidden="false" customHeight="true" outlineLevel="0" collapsed="false">
      <c r="A10" s="41" t="s">
        <v>166</v>
      </c>
      <c r="B10" s="42" t="n">
        <v>4</v>
      </c>
      <c r="C10" s="42" t="n">
        <v>3</v>
      </c>
      <c r="D10" s="42" t="n">
        <v>6</v>
      </c>
      <c r="E10" s="42" t="n">
        <v>6</v>
      </c>
      <c r="F10" s="42" t="n">
        <v>7</v>
      </c>
      <c r="G10" s="42" t="n">
        <v>8</v>
      </c>
      <c r="H10" s="42" t="n">
        <v>8</v>
      </c>
      <c r="I10" s="42" t="n">
        <v>9</v>
      </c>
      <c r="J10" s="42" t="n">
        <v>9</v>
      </c>
      <c r="K10" s="42" t="n">
        <v>9</v>
      </c>
      <c r="L10" s="42" t="n">
        <v>11</v>
      </c>
      <c r="M10" s="42" t="n">
        <v>11</v>
      </c>
      <c r="N10" s="42" t="n">
        <v>11</v>
      </c>
      <c r="O10" s="42" t="n">
        <v>9</v>
      </c>
      <c r="P10" s="42" t="n">
        <v>10</v>
      </c>
      <c r="Q10" s="42" t="n">
        <v>10</v>
      </c>
      <c r="R10" s="42" t="n">
        <v>8</v>
      </c>
      <c r="S10" s="42" t="n">
        <v>9</v>
      </c>
      <c r="T10" s="43" t="n">
        <f aca="false">SUM(B10:S10)</f>
        <v>148</v>
      </c>
    </row>
    <row r="11" customFormat="false" ht="15" hidden="false" customHeight="true" outlineLevel="0" collapsed="false">
      <c r="A11" s="41" t="s">
        <v>167</v>
      </c>
      <c r="B11" s="47" t="n">
        <v>5</v>
      </c>
      <c r="C11" s="47" t="n">
        <v>5</v>
      </c>
      <c r="D11" s="47" t="n">
        <v>4</v>
      </c>
      <c r="E11" s="47" t="n">
        <v>4</v>
      </c>
      <c r="F11" s="47" t="n">
        <v>4</v>
      </c>
      <c r="G11" s="47" t="n">
        <v>3</v>
      </c>
      <c r="H11" s="47" t="n">
        <v>3</v>
      </c>
      <c r="I11" s="47" t="n">
        <v>3</v>
      </c>
      <c r="J11" s="47" t="n">
        <v>3</v>
      </c>
      <c r="K11" s="47" t="n">
        <v>3</v>
      </c>
      <c r="L11" s="47" t="n">
        <v>2</v>
      </c>
      <c r="M11" s="47" t="n">
        <v>2</v>
      </c>
      <c r="N11" s="47" t="n">
        <v>2</v>
      </c>
      <c r="O11" s="47" t="n">
        <v>2</v>
      </c>
      <c r="P11" s="47" t="n">
        <v>2</v>
      </c>
      <c r="Q11" s="47" t="n">
        <v>2</v>
      </c>
      <c r="R11" s="47" t="n">
        <v>2</v>
      </c>
      <c r="S11" s="47" t="n">
        <v>2</v>
      </c>
      <c r="T11" s="48" t="n">
        <f aca="false">SUM(B11:S11)</f>
        <v>53</v>
      </c>
    </row>
    <row r="12" customFormat="false" ht="15.75" hidden="false" customHeight="true" outlineLevel="0" collapsed="false">
      <c r="A12" s="40" t="s">
        <v>168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</row>
    <row r="13" customFormat="false" ht="15" hidden="false" customHeight="true" outlineLevel="0" collapsed="false">
      <c r="A13" s="49" t="s">
        <v>169</v>
      </c>
      <c r="B13" s="50" t="n">
        <f aca="false">B6*39</f>
        <v>117</v>
      </c>
      <c r="C13" s="50" t="n">
        <f aca="false">C6*39</f>
        <v>195</v>
      </c>
      <c r="D13" s="50" t="n">
        <f aca="false">D6*39</f>
        <v>312</v>
      </c>
      <c r="E13" s="50" t="n">
        <f aca="false">E6*39</f>
        <v>429</v>
      </c>
      <c r="F13" s="50" t="n">
        <f aca="false">F6*39</f>
        <v>585</v>
      </c>
      <c r="G13" s="50" t="n">
        <f aca="false">G6*39</f>
        <v>780</v>
      </c>
      <c r="H13" s="50" t="n">
        <f aca="false">H6*39</f>
        <v>936</v>
      </c>
      <c r="I13" s="50" t="n">
        <f aca="false">I6*39</f>
        <v>1131</v>
      </c>
      <c r="J13" s="50" t="n">
        <f aca="false">J6*39</f>
        <v>1326</v>
      </c>
      <c r="K13" s="50" t="n">
        <f aca="false">K6*39</f>
        <v>1482</v>
      </c>
      <c r="L13" s="50" t="n">
        <f aca="false">L6*39</f>
        <v>1677</v>
      </c>
      <c r="M13" s="50" t="n">
        <f aca="false">M6*39</f>
        <v>1872</v>
      </c>
      <c r="N13" s="50" t="n">
        <f aca="false">N6*39</f>
        <v>2067</v>
      </c>
      <c r="O13" s="50" t="n">
        <f aca="false">O6*39</f>
        <v>2223</v>
      </c>
      <c r="P13" s="50" t="n">
        <f aca="false">P6*39</f>
        <v>2379</v>
      </c>
      <c r="Q13" s="50" t="n">
        <f aca="false">Q6*39</f>
        <v>2535</v>
      </c>
      <c r="R13" s="50" t="n">
        <f aca="false">R6*39</f>
        <v>2652</v>
      </c>
      <c r="S13" s="50" t="n">
        <f aca="false">S6*39</f>
        <v>2808</v>
      </c>
      <c r="T13" s="51" t="n">
        <f aca="false">SUM(B13:S13)</f>
        <v>25506</v>
      </c>
    </row>
    <row r="14" customFormat="false" ht="15" hidden="false" customHeight="true" outlineLevel="0" collapsed="false">
      <c r="A14" s="49" t="s">
        <v>170</v>
      </c>
      <c r="B14" s="50" t="n">
        <f aca="false">B7*79</f>
        <v>79</v>
      </c>
      <c r="C14" s="50" t="n">
        <f aca="false">C7*79</f>
        <v>158</v>
      </c>
      <c r="D14" s="50" t="n">
        <f aca="false">D7*79</f>
        <v>316</v>
      </c>
      <c r="E14" s="50" t="n">
        <f aca="false">E7*79</f>
        <v>474</v>
      </c>
      <c r="F14" s="50" t="n">
        <f aca="false">F7*79</f>
        <v>632</v>
      </c>
      <c r="G14" s="50" t="n">
        <f aca="false">G7*79</f>
        <v>790</v>
      </c>
      <c r="H14" s="50" t="n">
        <f aca="false">H7*79</f>
        <v>1027</v>
      </c>
      <c r="I14" s="50" t="n">
        <f aca="false">I7*79</f>
        <v>1264</v>
      </c>
      <c r="J14" s="50" t="n">
        <f aca="false">J7*79</f>
        <v>1501</v>
      </c>
      <c r="K14" s="50" t="n">
        <f aca="false">K7*79</f>
        <v>1817</v>
      </c>
      <c r="L14" s="50" t="n">
        <f aca="false">L7*79</f>
        <v>2133</v>
      </c>
      <c r="M14" s="50" t="n">
        <f aca="false">M7*79</f>
        <v>2449</v>
      </c>
      <c r="N14" s="50" t="n">
        <f aca="false">N7*79</f>
        <v>2765</v>
      </c>
      <c r="O14" s="50" t="n">
        <f aca="false">O7*79</f>
        <v>3002</v>
      </c>
      <c r="P14" s="50" t="n">
        <f aca="false">P7*79</f>
        <v>3318</v>
      </c>
      <c r="Q14" s="50" t="n">
        <f aca="false">Q7*79</f>
        <v>3634</v>
      </c>
      <c r="R14" s="50" t="n">
        <f aca="false">R7*79</f>
        <v>3871</v>
      </c>
      <c r="S14" s="50" t="n">
        <f aca="false">S7*79</f>
        <v>4108</v>
      </c>
      <c r="T14" s="51" t="n">
        <f aca="false">SUM(B14:S14)</f>
        <v>33338</v>
      </c>
    </row>
    <row r="15" customFormat="false" ht="15" hidden="false" customHeight="true" outlineLevel="0" collapsed="false">
      <c r="A15" s="49" t="s">
        <v>171</v>
      </c>
      <c r="B15" s="50" t="n">
        <f aca="false">B8*149</f>
        <v>0</v>
      </c>
      <c r="C15" s="50" t="n">
        <f aca="false">C8*149</f>
        <v>0</v>
      </c>
      <c r="D15" s="50" t="n">
        <f aca="false">D8*149</f>
        <v>149</v>
      </c>
      <c r="E15" s="50" t="n">
        <f aca="false">E8*149</f>
        <v>298</v>
      </c>
      <c r="F15" s="50" t="n">
        <f aca="false">F8*149</f>
        <v>447</v>
      </c>
      <c r="G15" s="50" t="n">
        <f aca="false">G8*149</f>
        <v>596</v>
      </c>
      <c r="H15" s="50" t="n">
        <f aca="false">H8*149</f>
        <v>745</v>
      </c>
      <c r="I15" s="50" t="n">
        <f aca="false">I8*149</f>
        <v>894</v>
      </c>
      <c r="J15" s="50" t="n">
        <f aca="false">J8*149</f>
        <v>1043</v>
      </c>
      <c r="K15" s="50" t="n">
        <f aca="false">K8*149</f>
        <v>1192</v>
      </c>
      <c r="L15" s="50" t="n">
        <f aca="false">L8*149</f>
        <v>1490</v>
      </c>
      <c r="M15" s="50" t="n">
        <f aca="false">M8*149</f>
        <v>1788</v>
      </c>
      <c r="N15" s="50" t="n">
        <f aca="false">N8*149</f>
        <v>2086</v>
      </c>
      <c r="O15" s="50" t="n">
        <f aca="false">O8*149</f>
        <v>2384</v>
      </c>
      <c r="P15" s="50" t="n">
        <f aca="false">P8*149</f>
        <v>2682</v>
      </c>
      <c r="Q15" s="50" t="n">
        <f aca="false">Q8*149</f>
        <v>2980</v>
      </c>
      <c r="R15" s="50" t="n">
        <f aca="false">R8*149</f>
        <v>3278</v>
      </c>
      <c r="S15" s="50" t="n">
        <f aca="false">S8*149</f>
        <v>3576</v>
      </c>
      <c r="T15" s="51" t="n">
        <f aca="false">SUM(B15:S15)</f>
        <v>25628</v>
      </c>
    </row>
    <row r="16" customFormat="false" ht="15" hidden="false" customHeight="true" outlineLevel="0" collapsed="false">
      <c r="A16" s="1" t="s">
        <v>172</v>
      </c>
      <c r="B16" s="1" t="n">
        <f aca="false">B13+B14+B15</f>
        <v>196</v>
      </c>
      <c r="C16" s="1" t="n">
        <f aca="false">C13+C14+C15</f>
        <v>353</v>
      </c>
      <c r="D16" s="1" t="n">
        <f aca="false">D13+D14+D15</f>
        <v>777</v>
      </c>
      <c r="E16" s="1" t="n">
        <f aca="false">E13+E14+E15</f>
        <v>1201</v>
      </c>
      <c r="F16" s="1" t="n">
        <f aca="false">F13+F14+F15</f>
        <v>1664</v>
      </c>
      <c r="G16" s="1" t="n">
        <f aca="false">G13+G14+G15</f>
        <v>2166</v>
      </c>
      <c r="H16" s="1" t="n">
        <f aca="false">H13+H14+H15</f>
        <v>2708</v>
      </c>
      <c r="I16" s="1" t="n">
        <f aca="false">I13+I14+I15</f>
        <v>3289</v>
      </c>
      <c r="J16" s="1" t="n">
        <f aca="false">J13+J14+J15</f>
        <v>3870</v>
      </c>
      <c r="K16" s="1" t="n">
        <f aca="false">K13+K14+K15</f>
        <v>4491</v>
      </c>
      <c r="L16" s="1" t="n">
        <f aca="false">L13+L14+L15</f>
        <v>5300</v>
      </c>
      <c r="M16" s="1" t="n">
        <f aca="false">M13+M14+M15</f>
        <v>6109</v>
      </c>
      <c r="N16" s="1" t="n">
        <f aca="false">N13+N14+N15</f>
        <v>6918</v>
      </c>
      <c r="O16" s="1" t="n">
        <f aca="false">O13+O14+O15</f>
        <v>7609</v>
      </c>
      <c r="P16" s="1" t="n">
        <f aca="false">P13+P14+P15</f>
        <v>8379</v>
      </c>
      <c r="Q16" s="1" t="n">
        <f aca="false">Q13+Q14+Q15</f>
        <v>9149</v>
      </c>
      <c r="R16" s="1" t="n">
        <f aca="false">R13+R14+R15</f>
        <v>9801</v>
      </c>
      <c r="S16" s="1" t="n">
        <f aca="false">S13+S14+S15</f>
        <v>10492</v>
      </c>
    </row>
    <row r="17" customFormat="false" ht="4.5" hidden="false" customHeight="true" outlineLevel="0" collapsed="false">
      <c r="A17" s="52" t="s">
        <v>173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</row>
    <row r="18" customFormat="false" ht="18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customFormat="false" ht="18.75" hidden="false" customHeight="true" outlineLevel="0" collapsed="false">
      <c r="A19" s="53" t="s">
        <v>174</v>
      </c>
    </row>
    <row r="20" customFormat="false" ht="15" hidden="false" customHeight="true" outlineLevel="0" collapsed="false">
      <c r="A20" s="45" t="s">
        <v>175</v>
      </c>
      <c r="B20" s="46" t="n">
        <v>0</v>
      </c>
      <c r="C20" s="46" t="n">
        <v>0</v>
      </c>
      <c r="D20" s="46" t="n">
        <v>0</v>
      </c>
      <c r="E20" s="46" t="n">
        <v>0</v>
      </c>
      <c r="F20" s="46" t="n">
        <v>0</v>
      </c>
      <c r="G20" s="46" t="n">
        <v>0</v>
      </c>
      <c r="H20" s="46" t="n">
        <v>0</v>
      </c>
      <c r="I20" s="46" t="n">
        <v>0</v>
      </c>
      <c r="J20" s="46" t="n">
        <v>0</v>
      </c>
      <c r="K20" s="46" t="n">
        <v>0</v>
      </c>
      <c r="L20" s="46" t="n">
        <v>0</v>
      </c>
      <c r="M20" s="46" t="n">
        <v>0</v>
      </c>
      <c r="N20" s="46" t="n">
        <v>0</v>
      </c>
      <c r="O20" s="46" t="n">
        <v>0</v>
      </c>
      <c r="P20" s="46" t="n">
        <v>0</v>
      </c>
      <c r="Q20" s="46" t="n">
        <v>0</v>
      </c>
      <c r="R20" s="46" t="n">
        <v>0</v>
      </c>
      <c r="S20" s="46" t="n">
        <v>0</v>
      </c>
      <c r="T20" s="46" t="n">
        <f aca="false">SUM(B19:S19)</f>
        <v>0</v>
      </c>
    </row>
    <row r="21" customFormat="false" ht="18.75" hidden="false" customHeight="true" outlineLevel="0" collapsed="false">
      <c r="A21" s="41" t="s">
        <v>176</v>
      </c>
      <c r="B21" s="54" t="n">
        <v>0</v>
      </c>
      <c r="C21" s="54" t="n">
        <v>0</v>
      </c>
      <c r="D21" s="54" t="n">
        <v>0</v>
      </c>
      <c r="E21" s="55" t="n">
        <v>22</v>
      </c>
      <c r="F21" s="55" t="n">
        <v>43</v>
      </c>
      <c r="G21" s="55" t="n">
        <v>64</v>
      </c>
      <c r="H21" s="55" t="n">
        <v>116</v>
      </c>
      <c r="I21" s="55" t="n">
        <v>188</v>
      </c>
      <c r="J21" s="55" t="n">
        <v>260</v>
      </c>
      <c r="K21" s="55" t="n">
        <v>312</v>
      </c>
      <c r="L21" s="55" t="n">
        <v>415</v>
      </c>
      <c r="M21" s="55" t="n">
        <v>518</v>
      </c>
      <c r="N21" s="55" t="n">
        <v>621</v>
      </c>
      <c r="O21" s="55" t="n">
        <v>724</v>
      </c>
      <c r="P21" s="55" t="n">
        <v>827</v>
      </c>
      <c r="Q21" s="55" t="n">
        <v>869</v>
      </c>
      <c r="R21" s="55" t="n">
        <v>931</v>
      </c>
      <c r="S21" s="55" t="n">
        <v>1013</v>
      </c>
      <c r="T21" s="56" t="n">
        <f aca="false">SUM(B20:S20)</f>
        <v>0</v>
      </c>
    </row>
    <row r="22" customFormat="false" ht="4.5" hidden="false" customHeight="true" outlineLevel="0" collapsed="false">
      <c r="A22" s="45" t="s">
        <v>175</v>
      </c>
      <c r="B22" s="1" t="n">
        <f aca="false">B20+B21</f>
        <v>0</v>
      </c>
      <c r="C22" s="1" t="n">
        <f aca="false">C20+C21</f>
        <v>0</v>
      </c>
      <c r="D22" s="1" t="n">
        <f aca="false">D20+D21</f>
        <v>0</v>
      </c>
      <c r="E22" s="1" t="n">
        <f aca="false">E20+E21</f>
        <v>22</v>
      </c>
      <c r="F22" s="1" t="n">
        <f aca="false">F20+F21</f>
        <v>43</v>
      </c>
      <c r="G22" s="1" t="n">
        <f aca="false">G20+G21</f>
        <v>64</v>
      </c>
      <c r="H22" s="1" t="n">
        <f aca="false">H20+H21</f>
        <v>116</v>
      </c>
      <c r="I22" s="1" t="n">
        <f aca="false">I20+I21</f>
        <v>188</v>
      </c>
      <c r="J22" s="1" t="n">
        <f aca="false">J20+J21</f>
        <v>260</v>
      </c>
      <c r="K22" s="1" t="n">
        <f aca="false">K20+K21</f>
        <v>312</v>
      </c>
      <c r="L22" s="1" t="n">
        <f aca="false">L20+L21</f>
        <v>415</v>
      </c>
      <c r="M22" s="1" t="n">
        <f aca="false">M20+M21</f>
        <v>518</v>
      </c>
      <c r="N22" s="1" t="n">
        <f aca="false">N20+N21</f>
        <v>621</v>
      </c>
      <c r="O22" s="1" t="n">
        <f aca="false">O20+O21</f>
        <v>724</v>
      </c>
      <c r="P22" s="1" t="n">
        <f aca="false">P20+P21</f>
        <v>827</v>
      </c>
      <c r="Q22" s="1" t="n">
        <f aca="false">Q20+Q21</f>
        <v>869</v>
      </c>
      <c r="R22" s="1" t="n">
        <f aca="false">R20+R21</f>
        <v>931</v>
      </c>
      <c r="S22" s="1" t="n">
        <f aca="false">S20+S21</f>
        <v>1013</v>
      </c>
    </row>
    <row r="23" customFormat="false" ht="18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customFormat="false" ht="15" hidden="false" customHeight="true" outlineLevel="0" collapsed="false">
      <c r="A24" s="53" t="s">
        <v>177</v>
      </c>
    </row>
    <row r="25" customFormat="false" ht="15" hidden="false" customHeight="true" outlineLevel="0" collapsed="false">
      <c r="A25" s="41" t="s">
        <v>178</v>
      </c>
      <c r="B25" s="44" t="n">
        <v>0</v>
      </c>
      <c r="C25" s="44" t="n">
        <v>0</v>
      </c>
      <c r="D25" s="42" t="n">
        <v>1</v>
      </c>
      <c r="E25" s="42" t="n">
        <v>1</v>
      </c>
      <c r="F25" s="42" t="n">
        <v>1</v>
      </c>
      <c r="G25" s="42" t="n">
        <v>2</v>
      </c>
      <c r="H25" s="42" t="n">
        <v>2</v>
      </c>
      <c r="I25" s="42" t="n">
        <v>3</v>
      </c>
      <c r="J25" s="42" t="n">
        <v>3</v>
      </c>
      <c r="K25" s="42" t="n">
        <v>4</v>
      </c>
      <c r="L25" s="42" t="n">
        <v>4</v>
      </c>
      <c r="M25" s="42" t="n">
        <v>5</v>
      </c>
      <c r="N25" s="42" t="n">
        <v>5</v>
      </c>
      <c r="O25" s="42" t="n">
        <v>6</v>
      </c>
      <c r="P25" s="42" t="n">
        <v>7</v>
      </c>
      <c r="Q25" s="42" t="n">
        <v>8</v>
      </c>
      <c r="R25" s="42" t="n">
        <v>9</v>
      </c>
      <c r="S25" s="42" t="n">
        <v>10</v>
      </c>
      <c r="T25" s="43" t="n">
        <f aca="false">SUM(B24:S24)</f>
        <v>0</v>
      </c>
    </row>
    <row r="26" customFormat="false" ht="15" hidden="false" customHeight="true" outlineLevel="0" collapsed="false">
      <c r="A26" s="41" t="s">
        <v>179</v>
      </c>
      <c r="B26" s="44" t="n">
        <v>0</v>
      </c>
      <c r="C26" s="44" t="n">
        <v>0</v>
      </c>
      <c r="D26" s="44" t="n">
        <v>0</v>
      </c>
      <c r="E26" s="42" t="n">
        <v>1</v>
      </c>
      <c r="F26" s="42" t="n">
        <v>2</v>
      </c>
      <c r="G26" s="42" t="n">
        <v>3</v>
      </c>
      <c r="H26" s="42" t="n">
        <v>4</v>
      </c>
      <c r="I26" s="42" t="n">
        <v>5</v>
      </c>
      <c r="J26" s="42" t="n">
        <v>6</v>
      </c>
      <c r="K26" s="42" t="n">
        <v>7</v>
      </c>
      <c r="L26" s="42" t="n">
        <v>8</v>
      </c>
      <c r="M26" s="42" t="n">
        <v>9</v>
      </c>
      <c r="N26" s="42" t="n">
        <v>11</v>
      </c>
      <c r="O26" s="42" t="n">
        <v>12</v>
      </c>
      <c r="P26" s="42" t="n">
        <v>14</v>
      </c>
      <c r="Q26" s="42" t="n">
        <v>15</v>
      </c>
      <c r="R26" s="42" t="n">
        <v>17</v>
      </c>
      <c r="S26" s="42" t="n">
        <v>19</v>
      </c>
      <c r="T26" s="43" t="n">
        <f aca="false">SUM(B25:S25)</f>
        <v>71</v>
      </c>
    </row>
    <row r="27" customFormat="false" ht="18.75" hidden="false" customHeight="true" outlineLevel="0" collapsed="false">
      <c r="A27" s="41" t="s">
        <v>180</v>
      </c>
      <c r="B27" s="44" t="n">
        <v>0</v>
      </c>
      <c r="C27" s="44" t="n">
        <v>0</v>
      </c>
      <c r="D27" s="44" t="n">
        <v>0</v>
      </c>
      <c r="E27" s="44" t="n">
        <v>0</v>
      </c>
      <c r="F27" s="44" t="n">
        <v>0</v>
      </c>
      <c r="G27" s="44" t="n">
        <v>0</v>
      </c>
      <c r="H27" s="44" t="n">
        <v>0</v>
      </c>
      <c r="I27" s="44" t="n">
        <v>0</v>
      </c>
      <c r="J27" s="44" t="n">
        <v>0</v>
      </c>
      <c r="K27" s="44" t="n">
        <v>0</v>
      </c>
      <c r="L27" s="44" t="n">
        <v>0</v>
      </c>
      <c r="M27" s="44" t="n">
        <v>0</v>
      </c>
      <c r="N27" s="44" t="n">
        <v>0</v>
      </c>
      <c r="O27" s="42" t="n">
        <v>1</v>
      </c>
      <c r="P27" s="42" t="n">
        <v>1</v>
      </c>
      <c r="Q27" s="42" t="n">
        <v>1</v>
      </c>
      <c r="R27" s="42" t="n">
        <v>2</v>
      </c>
      <c r="S27" s="42" t="n">
        <v>2</v>
      </c>
      <c r="T27" s="43" t="n">
        <f aca="false">SUM(B26:S26)</f>
        <v>133</v>
      </c>
    </row>
    <row r="28" customFormat="false" ht="4.5" hidden="false" customHeight="true" outlineLevel="0" collapsed="false">
      <c r="A28" s="45" t="s">
        <v>181</v>
      </c>
      <c r="B28" s="1" t="n">
        <f aca="false">B25*99+B26*199+B27*499</f>
        <v>0</v>
      </c>
      <c r="C28" s="1" t="n">
        <f aca="false">C25*99+C26*199+C27*499</f>
        <v>0</v>
      </c>
      <c r="D28" s="1" t="n">
        <f aca="false">D25*99+D26*199+D27*499</f>
        <v>99</v>
      </c>
      <c r="E28" s="1" t="n">
        <f aca="false">E25*99+E26*199+E27*499</f>
        <v>298</v>
      </c>
      <c r="F28" s="1" t="n">
        <f aca="false">F25*99+F26*199+F27*499</f>
        <v>497</v>
      </c>
      <c r="G28" s="1" t="n">
        <f aca="false">G25*99+G26*199+G27*499</f>
        <v>795</v>
      </c>
      <c r="H28" s="1" t="n">
        <f aca="false">H25*99+H26*199+H27*499</f>
        <v>994</v>
      </c>
      <c r="I28" s="1" t="n">
        <f aca="false">I25*99+I26*199+I27*499</f>
        <v>1292</v>
      </c>
      <c r="J28" s="1" t="n">
        <f aca="false">J25*99+J26*199+J27*499</f>
        <v>1491</v>
      </c>
      <c r="K28" s="1" t="n">
        <f aca="false">K25*99+K26*199+K27*499</f>
        <v>1789</v>
      </c>
      <c r="L28" s="1" t="n">
        <f aca="false">L25*99+L26*199+L27*499</f>
        <v>1988</v>
      </c>
      <c r="M28" s="1" t="n">
        <f aca="false">M25*99+M26*199+M27*499</f>
        <v>2286</v>
      </c>
      <c r="N28" s="1" t="n">
        <f aca="false">N25*99+N26*199+N27*499</f>
        <v>2684</v>
      </c>
      <c r="O28" s="1" t="n">
        <f aca="false">O25*99+O26*199+O27*499</f>
        <v>3481</v>
      </c>
      <c r="P28" s="1" t="n">
        <f aca="false">P25*99+P26*199+P27*499</f>
        <v>3978</v>
      </c>
      <c r="Q28" s="1" t="n">
        <f aca="false">Q25*99+Q26*199+Q27*499</f>
        <v>4276</v>
      </c>
      <c r="R28" s="1" t="n">
        <f aca="false">R25*99+R26*199+R27*499</f>
        <v>5272</v>
      </c>
      <c r="S28" s="1" t="n">
        <f aca="false">S25*99+S26*199+S27*499</f>
        <v>5769</v>
      </c>
    </row>
    <row r="29" customFormat="false" ht="3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</row>
    <row r="31" customFormat="false" ht="21.75" hidden="false" customHeight="true" outlineLevel="0" collapsed="false"/>
    <row r="32" customFormat="false" ht="15" hidden="false" customHeight="false" outlineLevel="0" collapsed="false">
      <c r="A32" s="57" t="s">
        <v>182</v>
      </c>
      <c r="B32" s="58" t="n">
        <f aca="false">B16+B22+B28</f>
        <v>196</v>
      </c>
      <c r="C32" s="58" t="n">
        <f aca="false">C16+C22+C28</f>
        <v>353</v>
      </c>
      <c r="D32" s="58" t="n">
        <f aca="false">D16+D22+D28</f>
        <v>876</v>
      </c>
      <c r="E32" s="58" t="n">
        <f aca="false">E16+E22+E28</f>
        <v>1521</v>
      </c>
      <c r="F32" s="58" t="n">
        <f aca="false">F16+F22+F28</f>
        <v>2204</v>
      </c>
      <c r="G32" s="58" t="n">
        <f aca="false">G16+G22+G28</f>
        <v>3025</v>
      </c>
      <c r="H32" s="58" t="n">
        <f aca="false">H16+H22+H28</f>
        <v>3818</v>
      </c>
      <c r="I32" s="58" t="n">
        <f aca="false">I16+I22+I28</f>
        <v>4769</v>
      </c>
      <c r="J32" s="58" t="n">
        <f aca="false">J16+J22+J28</f>
        <v>5621</v>
      </c>
      <c r="K32" s="58" t="n">
        <f aca="false">K16+K22+K28</f>
        <v>6592</v>
      </c>
      <c r="L32" s="58" t="n">
        <f aca="false">L16+L22+L28</f>
        <v>7703</v>
      </c>
      <c r="M32" s="58" t="n">
        <f aca="false">M16+M22+M28</f>
        <v>8913</v>
      </c>
      <c r="N32" s="58" t="n">
        <f aca="false">N16+N22+N28</f>
        <v>10223</v>
      </c>
      <c r="O32" s="58" t="n">
        <f aca="false">O16+O22+O28</f>
        <v>11814</v>
      </c>
      <c r="P32" s="58" t="n">
        <f aca="false">P16+P22+P28</f>
        <v>13184</v>
      </c>
      <c r="Q32" s="58" t="n">
        <f aca="false">Q16+Q22+Q28</f>
        <v>14294</v>
      </c>
      <c r="R32" s="58" t="n">
        <f aca="false">R16+R22+R28</f>
        <v>16004</v>
      </c>
      <c r="S32" s="58" t="n">
        <f aca="false">S16+S22+S28</f>
        <v>17274</v>
      </c>
      <c r="T32" s="58" t="n">
        <f aca="false">SUM(B31:S31)</f>
        <v>0</v>
      </c>
    </row>
    <row r="33" customFormat="false" ht="15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</row>
    <row r="34" customFormat="false" ht="15" hidden="false" customHeight="false" outlineLevel="0" collapsed="false">
      <c r="A34" s="59" t="s">
        <v>183</v>
      </c>
    </row>
  </sheetData>
  <mergeCells count="10">
    <mergeCell ref="A1:T1"/>
    <mergeCell ref="A2:T2"/>
    <mergeCell ref="A4:T4"/>
    <mergeCell ref="A5:T5"/>
    <mergeCell ref="A12:T12"/>
    <mergeCell ref="A17:T17"/>
    <mergeCell ref="A18:T18"/>
    <mergeCell ref="A23:T23"/>
    <mergeCell ref="A29:T29"/>
    <mergeCell ref="A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54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2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3.5" hidden="false" customHeight="true" outlineLevel="0" collapsed="false">
      <c r="A2" s="60" t="s">
        <v>185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6.5" hidden="false" customHeight="true" outlineLevel="0" collapsed="false">
      <c r="A4" s="61" t="s">
        <v>186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</row>
    <row r="5" customFormat="false" ht="15.75" hidden="false" customHeight="true" outlineLevel="0" collapsed="false">
      <c r="A5" s="7" t="s">
        <v>187</v>
      </c>
      <c r="B5" s="62" t="n">
        <v>1</v>
      </c>
      <c r="C5" s="63" t="s">
        <v>188</v>
      </c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</row>
    <row r="6" customFormat="false" ht="15.75" hidden="false" customHeight="true" outlineLevel="0" collapsed="false">
      <c r="A6" s="7" t="s">
        <v>189</v>
      </c>
      <c r="B6" s="62" t="n">
        <v>0</v>
      </c>
      <c r="C6" s="63" t="s">
        <v>190</v>
      </c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</row>
    <row r="7" customFormat="false" ht="16.5" hidden="false" customHeight="true" outlineLevel="0" collapsed="false">
      <c r="A7" s="6" t="s">
        <v>191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customFormat="false" ht="15" hidden="false" customHeight="true" outlineLevel="0" collapsed="false">
      <c r="A8" s="64" t="s">
        <v>192</v>
      </c>
      <c r="B8" s="65" t="n">
        <v>0.8</v>
      </c>
      <c r="C8" s="66" t="s">
        <v>193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</row>
    <row r="9" customFormat="false" ht="15" hidden="false" customHeight="true" outlineLevel="0" collapsed="false">
      <c r="A9" s="64" t="s">
        <v>194</v>
      </c>
      <c r="B9" s="65" t="n">
        <v>0.8</v>
      </c>
      <c r="C9" s="66" t="s">
        <v>193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</row>
    <row r="10" customFormat="false" ht="15" hidden="false" customHeight="true" outlineLevel="0" collapsed="false">
      <c r="A10" s="64" t="s">
        <v>195</v>
      </c>
      <c r="B10" s="65" t="n">
        <v>0.5</v>
      </c>
      <c r="C10" s="66" t="s">
        <v>196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</row>
    <row r="11" customFormat="false" ht="15" hidden="false" customHeight="true" outlineLevel="0" collapsed="false">
      <c r="A11" s="64" t="s">
        <v>197</v>
      </c>
      <c r="B11" s="67" t="n">
        <v>50</v>
      </c>
      <c r="C11" s="66" t="s">
        <v>198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</row>
    <row r="12" customFormat="false" ht="15" hidden="false" customHeight="true" outlineLevel="0" collapsed="false">
      <c r="A12" s="64" t="s">
        <v>199</v>
      </c>
      <c r="B12" s="67" t="n">
        <v>100</v>
      </c>
      <c r="C12" s="66" t="s">
        <v>200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</row>
    <row r="13" customFormat="false" ht="15" hidden="false" customHeight="true" outlineLevel="0" collapsed="false">
      <c r="A13" s="64" t="s">
        <v>201</v>
      </c>
      <c r="B13" s="67" t="n">
        <v>250</v>
      </c>
      <c r="C13" s="66" t="s">
        <v>202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</row>
    <row r="14" customFormat="false" ht="15" hidden="false" customHeight="true" outlineLevel="0" collapsed="false">
      <c r="A14" s="64" t="s">
        <v>203</v>
      </c>
      <c r="B14" s="65" t="n">
        <v>0.9</v>
      </c>
      <c r="C14" s="66" t="s">
        <v>204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</row>
    <row r="15" customFormat="false" ht="15" hidden="false" customHeight="true" outlineLevel="0" collapsed="false">
      <c r="A15" s="64" t="s">
        <v>205</v>
      </c>
      <c r="B15" s="65" t="n">
        <v>0.6</v>
      </c>
      <c r="C15" s="66" t="s">
        <v>206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</row>
    <row r="16" customFormat="false" ht="15" hidden="false" customHeight="true" outlineLevel="0" collapsed="false">
      <c r="A16" s="68" t="s">
        <v>207</v>
      </c>
      <c r="B16" s="65" t="n">
        <v>0.45</v>
      </c>
      <c r="C16" s="69" t="s">
        <v>208</v>
      </c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</row>
    <row r="17" customFormat="false" ht="15" hidden="false" customHeight="true" outlineLevel="0" collapsed="false">
      <c r="A17" s="64" t="s">
        <v>209</v>
      </c>
      <c r="B17" s="65" t="n">
        <v>0.3</v>
      </c>
      <c r="C17" s="66" t="s">
        <v>210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</row>
    <row r="18" customFormat="false" ht="15" hidden="false" customHeight="true" outlineLevel="0" collapsed="false">
      <c r="A18" s="64" t="s">
        <v>211</v>
      </c>
      <c r="B18" s="67" t="n">
        <v>500</v>
      </c>
      <c r="C18" s="66" t="s">
        <v>212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</row>
    <row r="19" customFormat="false" ht="15" hidden="false" customHeight="true" outlineLevel="0" collapsed="false">
      <c r="A19" s="64" t="s">
        <v>213</v>
      </c>
      <c r="B19" s="67" t="n">
        <v>1500</v>
      </c>
      <c r="C19" s="66" t="s">
        <v>214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</row>
    <row r="20" customFormat="false" ht="15" hidden="false" customHeight="true" outlineLevel="0" collapsed="false">
      <c r="A20" s="68" t="s">
        <v>215</v>
      </c>
      <c r="B20" s="67" t="n">
        <v>3000</v>
      </c>
      <c r="C20" s="69" t="s">
        <v>216</v>
      </c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</row>
    <row r="21" customFormat="false" ht="16.5" hidden="false" customHeight="true" outlineLevel="0" collapsed="false">
      <c r="A21" s="6" t="s">
        <v>217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customFormat="false" ht="15" hidden="false" customHeight="true" outlineLevel="1" collapsed="false">
      <c r="A22" s="70" t="s">
        <v>218</v>
      </c>
      <c r="B22" s="44" t="n">
        <v>0</v>
      </c>
      <c r="C22" s="44" t="n">
        <v>0</v>
      </c>
      <c r="D22" s="42" t="n">
        <v>1</v>
      </c>
      <c r="E22" s="42" t="n">
        <v>1</v>
      </c>
      <c r="F22" s="42" t="n">
        <v>1</v>
      </c>
      <c r="G22" s="42" t="n">
        <v>2</v>
      </c>
      <c r="H22" s="42" t="n">
        <v>2</v>
      </c>
      <c r="I22" s="42" t="n">
        <v>3</v>
      </c>
      <c r="J22" s="42" t="n">
        <v>3</v>
      </c>
      <c r="K22" s="42" t="n">
        <v>4</v>
      </c>
      <c r="L22" s="42" t="n">
        <v>4</v>
      </c>
      <c r="M22" s="42" t="n">
        <v>5</v>
      </c>
      <c r="N22" s="42" t="n">
        <v>5</v>
      </c>
      <c r="O22" s="42" t="n">
        <v>6</v>
      </c>
      <c r="P22" s="42" t="n">
        <v>7</v>
      </c>
      <c r="Q22" s="42" t="n">
        <v>8</v>
      </c>
      <c r="R22" s="42" t="n">
        <v>9</v>
      </c>
      <c r="S22" s="42" t="n">
        <v>10</v>
      </c>
      <c r="T22" s="71" t="n">
        <f aca="false">SUM(B22:S22)</f>
        <v>71</v>
      </c>
    </row>
    <row r="23" customFormat="false" ht="15" hidden="false" customHeight="true" outlineLevel="1" collapsed="false">
      <c r="A23" s="64" t="s">
        <v>219</v>
      </c>
      <c r="B23" s="50" t="n">
        <f aca="false">$B$5*MAX(0,700-$B$18)*$B$14*B22</f>
        <v>0</v>
      </c>
      <c r="C23" s="50" t="n">
        <f aca="false">$B$5*MAX(0,700-$B$18)*$B$14*C22</f>
        <v>0</v>
      </c>
      <c r="D23" s="50" t="n">
        <f aca="false">$B$5*MAX(0,700-$B$18)*$B$14*D22</f>
        <v>180</v>
      </c>
      <c r="E23" s="50" t="n">
        <f aca="false">$B$5*MAX(0,700-$B$18)*$B$14*E22</f>
        <v>180</v>
      </c>
      <c r="F23" s="50" t="n">
        <f aca="false">$B$5*MAX(0,700-$B$18)*$B$14*F22</f>
        <v>180</v>
      </c>
      <c r="G23" s="50" t="n">
        <f aca="false">$B$5*MAX(0,700-$B$18)*$B$14*G22</f>
        <v>360</v>
      </c>
      <c r="H23" s="50" t="n">
        <f aca="false">$B$5*MAX(0,700-$B$18)*$B$14*H22</f>
        <v>360</v>
      </c>
      <c r="I23" s="50" t="n">
        <f aca="false">$B$5*MAX(0,700-$B$18)*$B$14*I22</f>
        <v>540</v>
      </c>
      <c r="J23" s="50" t="n">
        <f aca="false">$B$5*MAX(0,700-$B$18)*$B$14*J22</f>
        <v>540</v>
      </c>
      <c r="K23" s="50" t="n">
        <f aca="false">$B$5*MAX(0,700-$B$18)*$B$14*K22</f>
        <v>720</v>
      </c>
      <c r="L23" s="50" t="n">
        <f aca="false">$B$5*MAX(0,700-$B$18)*$B$14*L22</f>
        <v>720</v>
      </c>
      <c r="M23" s="50" t="n">
        <f aca="false">$B$5*MAX(0,700-$B$18)*$B$14*M22</f>
        <v>900</v>
      </c>
      <c r="N23" s="50" t="n">
        <f aca="false">$B$5*MAX(0,700-$B$18)*$B$14*N22</f>
        <v>900</v>
      </c>
      <c r="O23" s="50" t="n">
        <f aca="false">$B$5*MAX(0,700-$B$18)*$B$14*O22</f>
        <v>1080</v>
      </c>
      <c r="P23" s="50" t="n">
        <f aca="false">$B$5*MAX(0,700-$B$18)*$B$14*P22</f>
        <v>1260</v>
      </c>
      <c r="Q23" s="50" t="n">
        <f aca="false">$B$5*MAX(0,700-$B$18)*$B$14*Q22</f>
        <v>1440</v>
      </c>
      <c r="R23" s="50" t="n">
        <f aca="false">$B$5*MAX(0,700-$B$18)*$B$14*R22</f>
        <v>1620</v>
      </c>
      <c r="S23" s="50" t="n">
        <f aca="false">$B$5*MAX(0,700-$B$18)*$B$14*S22</f>
        <v>1800</v>
      </c>
      <c r="T23" s="72" t="n">
        <f aca="false">SUM(B23:S23)</f>
        <v>12780</v>
      </c>
    </row>
    <row r="24" customFormat="false" ht="15" hidden="false" customHeight="true" outlineLevel="1" collapsed="false">
      <c r="A24" s="70" t="s">
        <v>220</v>
      </c>
      <c r="B24" s="44" t="n">
        <v>0</v>
      </c>
      <c r="C24" s="44" t="n">
        <v>0</v>
      </c>
      <c r="D24" s="44" t="n">
        <v>0</v>
      </c>
      <c r="E24" s="42" t="n">
        <v>1</v>
      </c>
      <c r="F24" s="42" t="n">
        <v>2</v>
      </c>
      <c r="G24" s="42" t="n">
        <v>3</v>
      </c>
      <c r="H24" s="42" t="n">
        <v>4</v>
      </c>
      <c r="I24" s="42" t="n">
        <v>5</v>
      </c>
      <c r="J24" s="42" t="n">
        <v>6</v>
      </c>
      <c r="K24" s="42" t="n">
        <v>7</v>
      </c>
      <c r="L24" s="42" t="n">
        <v>8</v>
      </c>
      <c r="M24" s="42" t="n">
        <v>9</v>
      </c>
      <c r="N24" s="42" t="n">
        <v>11</v>
      </c>
      <c r="O24" s="42" t="n">
        <v>12</v>
      </c>
      <c r="P24" s="42" t="n">
        <v>14</v>
      </c>
      <c r="Q24" s="42" t="n">
        <v>15</v>
      </c>
      <c r="R24" s="42" t="n">
        <v>17</v>
      </c>
      <c r="S24" s="42" t="n">
        <v>19</v>
      </c>
      <c r="T24" s="71" t="n">
        <f aca="false">SUM(B24:S24)</f>
        <v>133</v>
      </c>
    </row>
    <row r="25" customFormat="false" ht="15" hidden="false" customHeight="true" outlineLevel="1" collapsed="false">
      <c r="A25" s="64" t="s">
        <v>221</v>
      </c>
      <c r="B25" s="50" t="n">
        <f aca="false">$B$5*MAX(0,2000-$B$19)*$B$15*B24</f>
        <v>0</v>
      </c>
      <c r="C25" s="50" t="n">
        <f aca="false">$B$5*MAX(0,2000-$B$19)*$B$15*C24</f>
        <v>0</v>
      </c>
      <c r="D25" s="50" t="n">
        <f aca="false">$B$5*MAX(0,2000-$B$19)*$B$15*D24</f>
        <v>0</v>
      </c>
      <c r="E25" s="50" t="n">
        <f aca="false">$B$5*MAX(0,2000-$B$19)*$B$15*E24</f>
        <v>300</v>
      </c>
      <c r="F25" s="50" t="n">
        <f aca="false">$B$5*MAX(0,2000-$B$19)*$B$15*F24</f>
        <v>600</v>
      </c>
      <c r="G25" s="50" t="n">
        <f aca="false">$B$5*MAX(0,2000-$B$19)*$B$15*G24</f>
        <v>900</v>
      </c>
      <c r="H25" s="50" t="n">
        <f aca="false">$B$5*MAX(0,2000-$B$19)*$B$15*H24</f>
        <v>1200</v>
      </c>
      <c r="I25" s="50" t="n">
        <f aca="false">$B$5*MAX(0,2000-$B$19)*$B$15*I24</f>
        <v>1500</v>
      </c>
      <c r="J25" s="50" t="n">
        <f aca="false">$B$5*MAX(0,2000-$B$19)*$B$15*J24</f>
        <v>1800</v>
      </c>
      <c r="K25" s="50" t="n">
        <f aca="false">$B$5*MAX(0,2000-$B$19)*$B$15*K24</f>
        <v>2100</v>
      </c>
      <c r="L25" s="50" t="n">
        <f aca="false">$B$5*MAX(0,2000-$B$19)*$B$15*L24</f>
        <v>2400</v>
      </c>
      <c r="M25" s="50" t="n">
        <f aca="false">$B$5*MAX(0,2000-$B$19)*$B$15*M24</f>
        <v>2700</v>
      </c>
      <c r="N25" s="50" t="n">
        <f aca="false">$B$5*MAX(0,2000-$B$19)*$B$15*N24</f>
        <v>3300</v>
      </c>
      <c r="O25" s="50" t="n">
        <f aca="false">$B$5*MAX(0,2000-$B$19)*$B$15*O24</f>
        <v>3600</v>
      </c>
      <c r="P25" s="50" t="n">
        <f aca="false">$B$5*MAX(0,2000-$B$19)*$B$15*P24</f>
        <v>4200</v>
      </c>
      <c r="Q25" s="50" t="n">
        <f aca="false">$B$5*MAX(0,2000-$B$19)*$B$15*Q24</f>
        <v>4500</v>
      </c>
      <c r="R25" s="50" t="n">
        <f aca="false">$B$5*MAX(0,2000-$B$19)*$B$15*R24</f>
        <v>5100</v>
      </c>
      <c r="S25" s="50" t="n">
        <f aca="false">$B$5*MAX(0,2000-$B$19)*$B$15*S24</f>
        <v>5700</v>
      </c>
      <c r="T25" s="72" t="n">
        <f aca="false">SUM(B25:S25)</f>
        <v>39900</v>
      </c>
    </row>
    <row r="26" customFormat="false" ht="15" hidden="false" customHeight="true" outlineLevel="1" collapsed="false">
      <c r="A26" s="68" t="s">
        <v>222</v>
      </c>
      <c r="B26" s="73" t="n">
        <v>0</v>
      </c>
      <c r="C26" s="73" t="n">
        <v>0</v>
      </c>
      <c r="D26" s="73" t="n">
        <v>0</v>
      </c>
      <c r="E26" s="73" t="n">
        <v>0</v>
      </c>
      <c r="F26" s="73" t="n">
        <v>0</v>
      </c>
      <c r="G26" s="73" t="n">
        <v>0</v>
      </c>
      <c r="H26" s="74" t="n">
        <v>1</v>
      </c>
      <c r="I26" s="74" t="n">
        <v>1</v>
      </c>
      <c r="J26" s="74" t="n">
        <v>2</v>
      </c>
      <c r="K26" s="74" t="n">
        <v>2</v>
      </c>
      <c r="L26" s="74" t="n">
        <v>3</v>
      </c>
      <c r="M26" s="74" t="n">
        <v>3</v>
      </c>
      <c r="N26" s="74" t="n">
        <v>4</v>
      </c>
      <c r="O26" s="74" t="n">
        <v>4</v>
      </c>
      <c r="P26" s="74" t="n">
        <v>5</v>
      </c>
      <c r="Q26" s="74" t="n">
        <v>6</v>
      </c>
      <c r="R26" s="74" t="n">
        <v>7</v>
      </c>
      <c r="S26" s="74" t="n">
        <v>8</v>
      </c>
      <c r="T26" s="75" t="n">
        <f aca="false">SUM(B26:S26)</f>
        <v>46</v>
      </c>
    </row>
    <row r="27" customFormat="false" ht="15" hidden="false" customHeight="true" outlineLevel="1" collapsed="false">
      <c r="A27" s="68" t="s">
        <v>223</v>
      </c>
      <c r="B27" s="76" t="n">
        <f aca="false">$B$5*MAX(0,4000-$B$20)*$B$16*B26</f>
        <v>0</v>
      </c>
      <c r="C27" s="76" t="n">
        <f aca="false">$B$5*MAX(0,4000-$B$20)*$B$16*C26</f>
        <v>0</v>
      </c>
      <c r="D27" s="76" t="n">
        <f aca="false">$B$5*MAX(0,4000-$B$20)*$B$16*D26</f>
        <v>0</v>
      </c>
      <c r="E27" s="76" t="n">
        <f aca="false">$B$5*MAX(0,4000-$B$20)*$B$16*E26</f>
        <v>0</v>
      </c>
      <c r="F27" s="76" t="n">
        <f aca="false">$B$5*MAX(0,4000-$B$20)*$B$16*F26</f>
        <v>0</v>
      </c>
      <c r="G27" s="76" t="n">
        <f aca="false">$B$5*MAX(0,4000-$B$20)*$B$16*G26</f>
        <v>0</v>
      </c>
      <c r="H27" s="76" t="n">
        <f aca="false">$B$5*MAX(0,4000-$B$20)*$B$16*H26</f>
        <v>450</v>
      </c>
      <c r="I27" s="76" t="n">
        <f aca="false">$B$5*MAX(0,4000-$B$20)*$B$16*I26</f>
        <v>450</v>
      </c>
      <c r="J27" s="76" t="n">
        <f aca="false">$B$5*MAX(0,4000-$B$20)*$B$16*J26</f>
        <v>900</v>
      </c>
      <c r="K27" s="76" t="n">
        <f aca="false">$B$5*MAX(0,4000-$B$20)*$B$16*K26</f>
        <v>900</v>
      </c>
      <c r="L27" s="76" t="n">
        <f aca="false">$B$5*MAX(0,4000-$B$20)*$B$16*L26</f>
        <v>1350</v>
      </c>
      <c r="M27" s="76" t="n">
        <f aca="false">$B$5*MAX(0,4000-$B$20)*$B$16*M26</f>
        <v>1350</v>
      </c>
      <c r="N27" s="76" t="n">
        <f aca="false">$B$5*MAX(0,4000-$B$20)*$B$16*N26</f>
        <v>1800</v>
      </c>
      <c r="O27" s="76" t="n">
        <f aca="false">$B$5*MAX(0,4000-$B$20)*$B$16*O26</f>
        <v>1800</v>
      </c>
      <c r="P27" s="76" t="n">
        <f aca="false">$B$5*MAX(0,4000-$B$20)*$B$16*P26</f>
        <v>2250</v>
      </c>
      <c r="Q27" s="76" t="n">
        <f aca="false">$B$5*MAX(0,4000-$B$20)*$B$16*Q26</f>
        <v>2700</v>
      </c>
      <c r="R27" s="76" t="n">
        <f aca="false">$B$5*MAX(0,4000-$B$20)*$B$16*R26</f>
        <v>3150</v>
      </c>
      <c r="S27" s="76" t="n">
        <f aca="false">$B$5*MAX(0,4000-$B$20)*$B$16*S26</f>
        <v>3600</v>
      </c>
      <c r="T27" s="77" t="n">
        <f aca="false">SUM(B27:S27)</f>
        <v>20700</v>
      </c>
    </row>
    <row r="28" customFormat="false" ht="15" hidden="false" customHeight="true" outlineLevel="1" collapsed="false">
      <c r="A28" s="70" t="s">
        <v>224</v>
      </c>
      <c r="B28" s="44" t="n">
        <v>0</v>
      </c>
      <c r="C28" s="44" t="n">
        <v>0</v>
      </c>
      <c r="D28" s="44" t="n">
        <v>0</v>
      </c>
      <c r="E28" s="44" t="n">
        <v>0</v>
      </c>
      <c r="F28" s="44" t="n">
        <v>0</v>
      </c>
      <c r="G28" s="44" t="n">
        <v>0</v>
      </c>
      <c r="H28" s="44" t="n">
        <v>0</v>
      </c>
      <c r="I28" s="44" t="n">
        <v>0</v>
      </c>
      <c r="J28" s="44" t="n">
        <v>0</v>
      </c>
      <c r="K28" s="44" t="n">
        <v>0</v>
      </c>
      <c r="L28" s="44" t="n">
        <v>0</v>
      </c>
      <c r="M28" s="44" t="n">
        <v>0</v>
      </c>
      <c r="N28" s="42" t="n">
        <v>1</v>
      </c>
      <c r="O28" s="42" t="n">
        <v>1</v>
      </c>
      <c r="P28" s="42" t="n">
        <v>2</v>
      </c>
      <c r="Q28" s="42" t="n">
        <v>2</v>
      </c>
      <c r="R28" s="42" t="n">
        <v>3</v>
      </c>
      <c r="S28" s="42" t="n">
        <v>3</v>
      </c>
      <c r="T28" s="71" t="n">
        <f aca="false">SUM(B28:S28)</f>
        <v>12</v>
      </c>
    </row>
    <row r="29" customFormat="false" ht="15" hidden="false" customHeight="true" outlineLevel="1" collapsed="false">
      <c r="A29" s="64" t="s">
        <v>225</v>
      </c>
      <c r="B29" s="50" t="n">
        <f aca="false">$B$5*MAX(0,7000-5000)*$B$17*B28</f>
        <v>0</v>
      </c>
      <c r="C29" s="50" t="n">
        <f aca="false">$B$5*MAX(0,7000-5000)*$B$17*C28</f>
        <v>0</v>
      </c>
      <c r="D29" s="50" t="n">
        <f aca="false">$B$5*MAX(0,7000-5000)*$B$17*D28</f>
        <v>0</v>
      </c>
      <c r="E29" s="50" t="n">
        <f aca="false">$B$5*MAX(0,7000-5000)*$B$17*E28</f>
        <v>0</v>
      </c>
      <c r="F29" s="50" t="n">
        <f aca="false">$B$5*MAX(0,7000-5000)*$B$17*F28</f>
        <v>0</v>
      </c>
      <c r="G29" s="50" t="n">
        <f aca="false">$B$5*MAX(0,7000-5000)*$B$17*G28</f>
        <v>0</v>
      </c>
      <c r="H29" s="50" t="n">
        <f aca="false">$B$5*MAX(0,7000-5000)*$B$17*H28</f>
        <v>0</v>
      </c>
      <c r="I29" s="50" t="n">
        <f aca="false">$B$5*MAX(0,7000-5000)*$B$17*I28</f>
        <v>0</v>
      </c>
      <c r="J29" s="50" t="n">
        <f aca="false">$B$5*MAX(0,7000-5000)*$B$17*J28</f>
        <v>0</v>
      </c>
      <c r="K29" s="50" t="n">
        <f aca="false">$B$5*MAX(0,7000-5000)*$B$17*K28</f>
        <v>0</v>
      </c>
      <c r="L29" s="50" t="n">
        <f aca="false">$B$5*MAX(0,7000-5000)*$B$17*L28</f>
        <v>0</v>
      </c>
      <c r="M29" s="50" t="n">
        <f aca="false">$B$5*MAX(0,7000-5000)*$B$17*M28</f>
        <v>0</v>
      </c>
      <c r="N29" s="50" t="n">
        <f aca="false">$B$5*MAX(0,7000-5000)*$B$17*N28</f>
        <v>600</v>
      </c>
      <c r="O29" s="50" t="n">
        <f aca="false">$B$5*MAX(0,7000-5000)*$B$17*O28</f>
        <v>600</v>
      </c>
      <c r="P29" s="50" t="n">
        <f aca="false">$B$5*MAX(0,7000-5000)*$B$17*P28</f>
        <v>1200</v>
      </c>
      <c r="Q29" s="50" t="n">
        <f aca="false">$B$5*MAX(0,7000-5000)*$B$17*Q28</f>
        <v>1200</v>
      </c>
      <c r="R29" s="50" t="n">
        <f aca="false">$B$5*MAX(0,7000-5000)*$B$17*R28</f>
        <v>1800</v>
      </c>
      <c r="S29" s="50" t="n">
        <f aca="false">$B$5*MAX(0,7000-5000)*$B$17*S28</f>
        <v>1800</v>
      </c>
      <c r="T29" s="72" t="n">
        <f aca="false">SUM(B29:S29)</f>
        <v>7200</v>
      </c>
    </row>
    <row r="30" customFormat="false" ht="18.75" hidden="false" customHeight="true" outlineLevel="0" collapsed="false">
      <c r="A30" s="45" t="s">
        <v>226</v>
      </c>
      <c r="B30" s="46" t="n">
        <f aca="false">B23+B25+B27+B29</f>
        <v>0</v>
      </c>
      <c r="C30" s="46" t="n">
        <f aca="false">C23+C25+C27+C29</f>
        <v>0</v>
      </c>
      <c r="D30" s="46" t="n">
        <f aca="false">D23+D25+D27+D29</f>
        <v>180</v>
      </c>
      <c r="E30" s="46" t="n">
        <f aca="false">E23+E25+E27+E29</f>
        <v>480</v>
      </c>
      <c r="F30" s="46" t="n">
        <f aca="false">F23+F25+F27+F29</f>
        <v>780</v>
      </c>
      <c r="G30" s="46" t="n">
        <f aca="false">G23+G25+G27+G29</f>
        <v>1260</v>
      </c>
      <c r="H30" s="46" t="n">
        <f aca="false">H23+H25+H27+H29</f>
        <v>2010</v>
      </c>
      <c r="I30" s="46" t="n">
        <f aca="false">I23+I25+I27+I29</f>
        <v>2490</v>
      </c>
      <c r="J30" s="46" t="n">
        <f aca="false">J23+J25+J27+J29</f>
        <v>3240</v>
      </c>
      <c r="K30" s="46" t="n">
        <f aca="false">K23+K25+K27+K29</f>
        <v>3720</v>
      </c>
      <c r="L30" s="46" t="n">
        <f aca="false">L23+L25+L27+L29</f>
        <v>4470</v>
      </c>
      <c r="M30" s="46" t="n">
        <f aca="false">M23+M25+M27+M29</f>
        <v>4950</v>
      </c>
      <c r="N30" s="46" t="n">
        <f aca="false">N23+N25+N27+N29</f>
        <v>6600</v>
      </c>
      <c r="O30" s="46" t="n">
        <f aca="false">O23+O25+O27+O29</f>
        <v>7080</v>
      </c>
      <c r="P30" s="46" t="n">
        <f aca="false">P23+P25+P27+P29</f>
        <v>8910</v>
      </c>
      <c r="Q30" s="46" t="n">
        <f aca="false">Q23+Q25+Q27+Q29</f>
        <v>9840</v>
      </c>
      <c r="R30" s="46" t="n">
        <f aca="false">R23+R25+R27+R29</f>
        <v>11670</v>
      </c>
      <c r="S30" s="46" t="n">
        <f aca="false">S23+S25+S27+S29</f>
        <v>12900</v>
      </c>
      <c r="T30" s="46" t="n">
        <f aca="false">SUM(B30:S30)</f>
        <v>80580</v>
      </c>
    </row>
    <row r="31" customFormat="false" ht="4.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customFormat="false" ht="16.5" hidden="false" customHeight="true" outlineLevel="0" collapsed="false">
      <c r="A32" s="78" t="s">
        <v>227</v>
      </c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</row>
    <row r="33" customFormat="false" ht="15" hidden="false" customHeight="true" outlineLevel="1" collapsed="false">
      <c r="A33" s="70" t="s">
        <v>228</v>
      </c>
      <c r="B33" s="42" t="n">
        <v>3</v>
      </c>
      <c r="C33" s="42" t="n">
        <v>5</v>
      </c>
      <c r="D33" s="42" t="n">
        <v>8</v>
      </c>
      <c r="E33" s="42" t="n">
        <v>11</v>
      </c>
      <c r="F33" s="42" t="n">
        <v>15</v>
      </c>
      <c r="G33" s="42" t="n">
        <v>20</v>
      </c>
      <c r="H33" s="42" t="n">
        <v>24</v>
      </c>
      <c r="I33" s="42" t="n">
        <v>29</v>
      </c>
      <c r="J33" s="42" t="n">
        <v>34</v>
      </c>
      <c r="K33" s="42" t="n">
        <v>38</v>
      </c>
      <c r="L33" s="42" t="n">
        <v>43</v>
      </c>
      <c r="M33" s="42" t="n">
        <v>48</v>
      </c>
      <c r="N33" s="42" t="n">
        <v>53</v>
      </c>
      <c r="O33" s="42" t="n">
        <v>57</v>
      </c>
      <c r="P33" s="42" t="n">
        <v>61</v>
      </c>
      <c r="Q33" s="42" t="n">
        <v>65</v>
      </c>
      <c r="R33" s="42" t="n">
        <v>68</v>
      </c>
      <c r="S33" s="42" t="n">
        <v>72</v>
      </c>
      <c r="T33" s="71" t="n">
        <f aca="false">SUM(B33:S33)</f>
        <v>654</v>
      </c>
    </row>
    <row r="34" customFormat="false" ht="15" hidden="false" customHeight="true" outlineLevel="1" collapsed="false">
      <c r="A34" s="64" t="s">
        <v>229</v>
      </c>
      <c r="B34" s="50" t="n">
        <f aca="false">$B$6*MAX(0,80-$B$11)*$B$8*B33</f>
        <v>0</v>
      </c>
      <c r="C34" s="50" t="n">
        <f aca="false">$B$6*MAX(0,80-$B$11)*$B$8*C33</f>
        <v>0</v>
      </c>
      <c r="D34" s="50" t="n">
        <f aca="false">$B$6*MAX(0,80-$B$11)*$B$8*D33</f>
        <v>0</v>
      </c>
      <c r="E34" s="50" t="n">
        <f aca="false">$B$6*MAX(0,80-$B$11)*$B$8*E33</f>
        <v>0</v>
      </c>
      <c r="F34" s="50" t="n">
        <f aca="false">$B$6*MAX(0,80-$B$11)*$B$8*F33</f>
        <v>0</v>
      </c>
      <c r="G34" s="50" t="n">
        <f aca="false">$B$6*MAX(0,80-$B$11)*$B$8*G33</f>
        <v>0</v>
      </c>
      <c r="H34" s="50" t="n">
        <f aca="false">$B$6*MAX(0,80-$B$11)*$B$8*H33</f>
        <v>0</v>
      </c>
      <c r="I34" s="50" t="n">
        <f aca="false">$B$6*MAX(0,80-$B$11)*$B$8*I33</f>
        <v>0</v>
      </c>
      <c r="J34" s="50" t="n">
        <f aca="false">$B$6*MAX(0,80-$B$11)*$B$8*J33</f>
        <v>0</v>
      </c>
      <c r="K34" s="50" t="n">
        <f aca="false">$B$6*MAX(0,80-$B$11)*$B$8*K33</f>
        <v>0</v>
      </c>
      <c r="L34" s="50" t="n">
        <f aca="false">$B$6*MAX(0,80-$B$11)*$B$8*L33</f>
        <v>0</v>
      </c>
      <c r="M34" s="50" t="n">
        <f aca="false">$B$6*MAX(0,80-$B$11)*$B$8*M33</f>
        <v>0</v>
      </c>
      <c r="N34" s="50" t="n">
        <f aca="false">$B$6*MAX(0,80-$B$11)*$B$8*N33</f>
        <v>0</v>
      </c>
      <c r="O34" s="50" t="n">
        <f aca="false">$B$6*MAX(0,80-$B$11)*$B$8*O33</f>
        <v>0</v>
      </c>
      <c r="P34" s="50" t="n">
        <f aca="false">$B$6*MAX(0,80-$B$11)*$B$8*P33</f>
        <v>0</v>
      </c>
      <c r="Q34" s="50" t="n">
        <f aca="false">$B$6*MAX(0,80-$B$11)*$B$8*Q33</f>
        <v>0</v>
      </c>
      <c r="R34" s="50" t="n">
        <f aca="false">$B$6*MAX(0,80-$B$11)*$B$8*R33</f>
        <v>0</v>
      </c>
      <c r="S34" s="50" t="n">
        <f aca="false">$B$6*MAX(0,80-$B$11)*$B$8*S33</f>
        <v>0</v>
      </c>
      <c r="T34" s="72" t="n">
        <f aca="false">SUM(B34:S34)</f>
        <v>0</v>
      </c>
    </row>
    <row r="35" customFormat="false" ht="15" hidden="false" customHeight="true" outlineLevel="1" collapsed="false">
      <c r="A35" s="70" t="s">
        <v>230</v>
      </c>
      <c r="B35" s="42" t="n">
        <v>1</v>
      </c>
      <c r="C35" s="42" t="n">
        <v>2</v>
      </c>
      <c r="D35" s="42" t="n">
        <v>4</v>
      </c>
      <c r="E35" s="42" t="n">
        <v>6</v>
      </c>
      <c r="F35" s="42" t="n">
        <v>8</v>
      </c>
      <c r="G35" s="42" t="n">
        <v>10</v>
      </c>
      <c r="H35" s="42" t="n">
        <v>13</v>
      </c>
      <c r="I35" s="42" t="n">
        <v>16</v>
      </c>
      <c r="J35" s="42" t="n">
        <v>19</v>
      </c>
      <c r="K35" s="42" t="n">
        <v>23</v>
      </c>
      <c r="L35" s="42" t="n">
        <v>27</v>
      </c>
      <c r="M35" s="42" t="n">
        <v>31</v>
      </c>
      <c r="N35" s="42" t="n">
        <v>35</v>
      </c>
      <c r="O35" s="42" t="n">
        <v>38</v>
      </c>
      <c r="P35" s="42" t="n">
        <v>42</v>
      </c>
      <c r="Q35" s="42" t="n">
        <v>46</v>
      </c>
      <c r="R35" s="42" t="n">
        <v>49</v>
      </c>
      <c r="S35" s="42" t="n">
        <v>52</v>
      </c>
      <c r="T35" s="71" t="n">
        <f aca="false">SUM(B35:S35)</f>
        <v>422</v>
      </c>
    </row>
    <row r="36" customFormat="false" ht="15" hidden="false" customHeight="true" outlineLevel="1" collapsed="false">
      <c r="A36" s="64" t="s">
        <v>231</v>
      </c>
      <c r="B36" s="50" t="n">
        <f aca="false">$B$6*MAX(0,200-$B$12)*$B$9*B35</f>
        <v>0</v>
      </c>
      <c r="C36" s="50" t="n">
        <f aca="false">$B$6*MAX(0,200-$B$12)*$B$9*C35</f>
        <v>0</v>
      </c>
      <c r="D36" s="50" t="n">
        <f aca="false">$B$6*MAX(0,200-$B$12)*$B$9*D35</f>
        <v>0</v>
      </c>
      <c r="E36" s="50" t="n">
        <f aca="false">$B$6*MAX(0,200-$B$12)*$B$9*E35</f>
        <v>0</v>
      </c>
      <c r="F36" s="50" t="n">
        <f aca="false">$B$6*MAX(0,200-$B$12)*$B$9*F35</f>
        <v>0</v>
      </c>
      <c r="G36" s="50" t="n">
        <f aca="false">$B$6*MAX(0,200-$B$12)*$B$9*G35</f>
        <v>0</v>
      </c>
      <c r="H36" s="50" t="n">
        <f aca="false">$B$6*MAX(0,200-$B$12)*$B$9*H35</f>
        <v>0</v>
      </c>
      <c r="I36" s="50" t="n">
        <f aca="false">$B$6*MAX(0,200-$B$12)*$B$9*I35</f>
        <v>0</v>
      </c>
      <c r="J36" s="50" t="n">
        <f aca="false">$B$6*MAX(0,200-$B$12)*$B$9*J35</f>
        <v>0</v>
      </c>
      <c r="K36" s="50" t="n">
        <f aca="false">$B$6*MAX(0,200-$B$12)*$B$9*K35</f>
        <v>0</v>
      </c>
      <c r="L36" s="50" t="n">
        <f aca="false">$B$6*MAX(0,200-$B$12)*$B$9*L35</f>
        <v>0</v>
      </c>
      <c r="M36" s="50" t="n">
        <f aca="false">$B$6*MAX(0,200-$B$12)*$B$9*M35</f>
        <v>0</v>
      </c>
      <c r="N36" s="50" t="n">
        <f aca="false">$B$6*MAX(0,200-$B$12)*$B$9*N35</f>
        <v>0</v>
      </c>
      <c r="O36" s="50" t="n">
        <f aca="false">$B$6*MAX(0,200-$B$12)*$B$9*O35</f>
        <v>0</v>
      </c>
      <c r="P36" s="50" t="n">
        <f aca="false">$B$6*MAX(0,200-$B$12)*$B$9*P35</f>
        <v>0</v>
      </c>
      <c r="Q36" s="50" t="n">
        <f aca="false">$B$6*MAX(0,200-$B$12)*$B$9*Q35</f>
        <v>0</v>
      </c>
      <c r="R36" s="50" t="n">
        <f aca="false">$B$6*MAX(0,200-$B$12)*$B$9*R35</f>
        <v>0</v>
      </c>
      <c r="S36" s="50" t="n">
        <f aca="false">$B$6*MAX(0,200-$B$12)*$B$9*S35</f>
        <v>0</v>
      </c>
      <c r="T36" s="72" t="n">
        <f aca="false">SUM(B36:S36)</f>
        <v>0</v>
      </c>
    </row>
    <row r="37" customFormat="false" ht="18.75" hidden="false" customHeight="true" outlineLevel="0" collapsed="false">
      <c r="A37" s="79" t="s">
        <v>232</v>
      </c>
      <c r="B37" s="80" t="n">
        <f aca="false">B34+B36</f>
        <v>0</v>
      </c>
      <c r="C37" s="80" t="n">
        <f aca="false">C34+C36</f>
        <v>0</v>
      </c>
      <c r="D37" s="80" t="n">
        <f aca="false">D34+D36</f>
        <v>0</v>
      </c>
      <c r="E37" s="80" t="n">
        <f aca="false">E34+E36</f>
        <v>0</v>
      </c>
      <c r="F37" s="80" t="n">
        <f aca="false">F34+F36</f>
        <v>0</v>
      </c>
      <c r="G37" s="80" t="n">
        <f aca="false">G34+G36</f>
        <v>0</v>
      </c>
      <c r="H37" s="80" t="n">
        <f aca="false">H34+H36</f>
        <v>0</v>
      </c>
      <c r="I37" s="80" t="n">
        <f aca="false">I34+I36</f>
        <v>0</v>
      </c>
      <c r="J37" s="80" t="n">
        <f aca="false">J34+J36</f>
        <v>0</v>
      </c>
      <c r="K37" s="80" t="n">
        <f aca="false">K34+K36</f>
        <v>0</v>
      </c>
      <c r="L37" s="80" t="n">
        <f aca="false">L34+L36</f>
        <v>0</v>
      </c>
      <c r="M37" s="80" t="n">
        <f aca="false">M34+M36</f>
        <v>0</v>
      </c>
      <c r="N37" s="80" t="n">
        <f aca="false">N34+N36</f>
        <v>0</v>
      </c>
      <c r="O37" s="80" t="n">
        <f aca="false">O34+O36</f>
        <v>0</v>
      </c>
      <c r="P37" s="80" t="n">
        <f aca="false">P34+P36</f>
        <v>0</v>
      </c>
      <c r="Q37" s="80" t="n">
        <f aca="false">Q34+Q36</f>
        <v>0</v>
      </c>
      <c r="R37" s="80" t="n">
        <f aca="false">R34+R36</f>
        <v>0</v>
      </c>
      <c r="S37" s="80" t="n">
        <f aca="false">S34+S36</f>
        <v>0</v>
      </c>
      <c r="T37" s="80" t="n">
        <f aca="false">SUM(B37:S37)</f>
        <v>0</v>
      </c>
    </row>
    <row r="38" customFormat="false" ht="4.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customFormat="false" ht="21.75" hidden="false" customHeight="true" outlineLevel="0" collapsed="false">
      <c r="A39" s="57" t="s">
        <v>233</v>
      </c>
      <c r="B39" s="58" t="n">
        <f aca="false">B30+B37</f>
        <v>0</v>
      </c>
      <c r="C39" s="58" t="n">
        <f aca="false">C30+C37</f>
        <v>0</v>
      </c>
      <c r="D39" s="58" t="n">
        <f aca="false">D30+D37</f>
        <v>180</v>
      </c>
      <c r="E39" s="58" t="n">
        <f aca="false">E30+E37</f>
        <v>480</v>
      </c>
      <c r="F39" s="58" t="n">
        <f aca="false">F30+F37</f>
        <v>780</v>
      </c>
      <c r="G39" s="58" t="n">
        <f aca="false">G30+G37</f>
        <v>1260</v>
      </c>
      <c r="H39" s="58" t="n">
        <f aca="false">H30+H37</f>
        <v>2010</v>
      </c>
      <c r="I39" s="58" t="n">
        <f aca="false">I30+I37</f>
        <v>2490</v>
      </c>
      <c r="J39" s="58" t="n">
        <f aca="false">J30+J37</f>
        <v>3240</v>
      </c>
      <c r="K39" s="58" t="n">
        <f aca="false">K30+K37</f>
        <v>3720</v>
      </c>
      <c r="L39" s="58" t="n">
        <f aca="false">L30+L37</f>
        <v>4470</v>
      </c>
      <c r="M39" s="58" t="n">
        <f aca="false">M30+M37</f>
        <v>4950</v>
      </c>
      <c r="N39" s="58" t="n">
        <f aca="false">N30+N37</f>
        <v>6600</v>
      </c>
      <c r="O39" s="58" t="n">
        <f aca="false">O30+O37</f>
        <v>7080</v>
      </c>
      <c r="P39" s="58" t="n">
        <f aca="false">P30+P37</f>
        <v>8910</v>
      </c>
      <c r="Q39" s="58" t="n">
        <f aca="false">Q30+Q37</f>
        <v>9840</v>
      </c>
      <c r="R39" s="58" t="n">
        <f aca="false">R30+R37</f>
        <v>11670</v>
      </c>
      <c r="S39" s="58" t="n">
        <f aca="false">S30+S37</f>
        <v>12900</v>
      </c>
      <c r="T39" s="58" t="n">
        <f aca="false">SUM(B39:S39)</f>
        <v>80580</v>
      </c>
    </row>
    <row r="40" customFormat="false" ht="4.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customFormat="false" ht="18" hidden="false" customHeight="true" outlineLevel="0" collapsed="false">
      <c r="A41" s="38" t="s">
        <v>234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</row>
  </sheetData>
  <mergeCells count="25">
    <mergeCell ref="A1:T1"/>
    <mergeCell ref="A2:T2"/>
    <mergeCell ref="A4:T4"/>
    <mergeCell ref="C5:T5"/>
    <mergeCell ref="C6:T6"/>
    <mergeCell ref="A7:T7"/>
    <mergeCell ref="C8:T8"/>
    <mergeCell ref="C9:T9"/>
    <mergeCell ref="C10:T10"/>
    <mergeCell ref="C11:T11"/>
    <mergeCell ref="C12:T12"/>
    <mergeCell ref="C13:T13"/>
    <mergeCell ref="C14:T14"/>
    <mergeCell ref="C15:T15"/>
    <mergeCell ref="C16:T16"/>
    <mergeCell ref="C17:T17"/>
    <mergeCell ref="C18:T18"/>
    <mergeCell ref="C19:T19"/>
    <mergeCell ref="C20:T20"/>
    <mergeCell ref="A21:T21"/>
    <mergeCell ref="A31:T31"/>
    <mergeCell ref="A32:T32"/>
    <mergeCell ref="A38:T38"/>
    <mergeCell ref="A40:T40"/>
    <mergeCell ref="A41:T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81" t="s">
        <v>235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</row>
    <row r="2" customFormat="false" ht="13.5" hidden="false" customHeight="true" outlineLevel="0" collapsed="false">
      <c r="A2" s="3" t="s">
        <v>236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5.75" hidden="false" customHeight="true" outlineLevel="0" collapsed="false">
      <c r="A4" s="82" t="s">
        <v>237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</row>
    <row r="5" customFormat="false" ht="15" hidden="false" customHeight="true" outlineLevel="0" collapsed="false">
      <c r="A5" s="41" t="s">
        <v>238</v>
      </c>
      <c r="B5" s="55" t="n">
        <v>30</v>
      </c>
      <c r="C5" s="55" t="n">
        <v>35</v>
      </c>
      <c r="D5" s="55" t="n">
        <v>50</v>
      </c>
      <c r="E5" s="55" t="n">
        <v>65</v>
      </c>
      <c r="F5" s="55" t="n">
        <v>95</v>
      </c>
      <c r="G5" s="55" t="n">
        <v>130</v>
      </c>
      <c r="H5" s="55" t="n">
        <v>150</v>
      </c>
      <c r="I5" s="55" t="n">
        <v>175</v>
      </c>
      <c r="J5" s="55" t="n">
        <v>215</v>
      </c>
      <c r="K5" s="55" t="n">
        <v>255</v>
      </c>
      <c r="L5" s="55" t="n">
        <v>305</v>
      </c>
      <c r="M5" s="55" t="n">
        <v>365</v>
      </c>
      <c r="N5" s="55" t="n">
        <v>430</v>
      </c>
      <c r="O5" s="55" t="n">
        <v>490</v>
      </c>
      <c r="P5" s="55" t="n">
        <v>545</v>
      </c>
      <c r="Q5" s="55" t="n">
        <v>600</v>
      </c>
      <c r="R5" s="55" t="n">
        <v>650</v>
      </c>
      <c r="S5" s="55" t="n">
        <v>700</v>
      </c>
      <c r="T5" s="56" t="n">
        <f aca="false">SUM(B5:S5)</f>
        <v>5285</v>
      </c>
    </row>
    <row r="6" customFormat="false" ht="15.75" hidden="false" customHeight="true" outlineLevel="0" collapsed="false">
      <c r="A6" s="83" t="s">
        <v>239</v>
      </c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</row>
    <row r="7" customFormat="false" ht="15.75" hidden="false" customHeight="true" outlineLevel="0" collapsed="false">
      <c r="A7" s="82" t="s">
        <v>240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</row>
    <row r="8" customFormat="false" ht="15" hidden="false" customHeight="true" outlineLevel="0" collapsed="false">
      <c r="A8" s="41" t="s">
        <v>241</v>
      </c>
      <c r="B8" s="55" t="n">
        <v>10</v>
      </c>
      <c r="C8" s="55" t="n">
        <v>10</v>
      </c>
      <c r="D8" s="55" t="n">
        <v>15</v>
      </c>
      <c r="E8" s="55" t="n">
        <v>20</v>
      </c>
      <c r="F8" s="55" t="n">
        <v>35</v>
      </c>
      <c r="G8" s="55" t="n">
        <v>45</v>
      </c>
      <c r="H8" s="55" t="n">
        <v>60</v>
      </c>
      <c r="I8" s="55" t="n">
        <v>80</v>
      </c>
      <c r="J8" s="55" t="n">
        <v>100</v>
      </c>
      <c r="K8" s="55" t="n">
        <v>125</v>
      </c>
      <c r="L8" s="55" t="n">
        <v>150</v>
      </c>
      <c r="M8" s="55" t="n">
        <v>180</v>
      </c>
      <c r="N8" s="55" t="n">
        <v>210</v>
      </c>
      <c r="O8" s="55" t="n">
        <v>245</v>
      </c>
      <c r="P8" s="55" t="n">
        <v>280</v>
      </c>
      <c r="Q8" s="55" t="n">
        <v>315</v>
      </c>
      <c r="R8" s="55" t="n">
        <v>345</v>
      </c>
      <c r="S8" s="55" t="n">
        <v>375</v>
      </c>
      <c r="T8" s="56" t="n">
        <f aca="false">SUM(B8:S8)</f>
        <v>2600</v>
      </c>
    </row>
    <row r="9" customFormat="false" ht="15.75" hidden="false" customHeight="true" outlineLevel="0" collapsed="false">
      <c r="A9" s="83" t="s">
        <v>242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</row>
    <row r="10" customFormat="false" ht="15.75" hidden="false" customHeight="true" outlineLevel="0" collapsed="false">
      <c r="A10" s="82" t="s">
        <v>243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</row>
    <row r="11" customFormat="false" ht="15" hidden="false" customHeight="true" outlineLevel="0" collapsed="false">
      <c r="A11" s="41" t="s">
        <v>244</v>
      </c>
      <c r="B11" s="55" t="n">
        <v>60</v>
      </c>
      <c r="C11" s="55" t="n">
        <v>75</v>
      </c>
      <c r="D11" s="55" t="n">
        <v>90</v>
      </c>
      <c r="E11" s="55" t="n">
        <v>110</v>
      </c>
      <c r="F11" s="55" t="n">
        <v>140</v>
      </c>
      <c r="G11" s="55" t="n">
        <v>170</v>
      </c>
      <c r="H11" s="55" t="n">
        <v>205</v>
      </c>
      <c r="I11" s="55" t="n">
        <v>245</v>
      </c>
      <c r="J11" s="55" t="n">
        <v>290</v>
      </c>
      <c r="K11" s="55" t="n">
        <v>335</v>
      </c>
      <c r="L11" s="55" t="n">
        <v>385</v>
      </c>
      <c r="M11" s="55" t="n">
        <v>445</v>
      </c>
      <c r="N11" s="55" t="n">
        <v>510</v>
      </c>
      <c r="O11" s="55" t="n">
        <v>560</v>
      </c>
      <c r="P11" s="55" t="n">
        <v>615</v>
      </c>
      <c r="Q11" s="55" t="n">
        <v>665</v>
      </c>
      <c r="R11" s="55" t="n">
        <v>715</v>
      </c>
      <c r="S11" s="55" t="n">
        <v>760</v>
      </c>
      <c r="T11" s="56" t="n">
        <f aca="false">SUM(B11:S11)</f>
        <v>6375</v>
      </c>
    </row>
    <row r="12" customFormat="false" ht="15.75" hidden="false" customHeight="true" outlineLevel="0" collapsed="false">
      <c r="A12" s="83" t="s">
        <v>245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</row>
    <row r="13" customFormat="false" ht="15.75" hidden="false" customHeight="true" outlineLevel="0" collapsed="false">
      <c r="A13" s="82" t="s">
        <v>246</v>
      </c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</row>
    <row r="14" customFormat="false" ht="15" hidden="false" customHeight="true" outlineLevel="0" collapsed="false">
      <c r="A14" s="41" t="s">
        <v>247</v>
      </c>
      <c r="B14" s="55" t="n">
        <v>20</v>
      </c>
      <c r="C14" s="55" t="n">
        <v>25</v>
      </c>
      <c r="D14" s="55" t="n">
        <v>35</v>
      </c>
      <c r="E14" s="55" t="n">
        <v>50</v>
      </c>
      <c r="F14" s="55" t="n">
        <v>95</v>
      </c>
      <c r="G14" s="55" t="n">
        <v>130</v>
      </c>
      <c r="H14" s="55" t="n">
        <v>155</v>
      </c>
      <c r="I14" s="55" t="n">
        <v>190</v>
      </c>
      <c r="J14" s="55" t="n">
        <v>230</v>
      </c>
      <c r="K14" s="55" t="n">
        <v>270</v>
      </c>
      <c r="L14" s="55" t="n">
        <v>315</v>
      </c>
      <c r="M14" s="55" t="n">
        <v>370</v>
      </c>
      <c r="N14" s="55" t="n">
        <v>425</v>
      </c>
      <c r="O14" s="55" t="n">
        <v>475</v>
      </c>
      <c r="P14" s="55" t="n">
        <v>525</v>
      </c>
      <c r="Q14" s="55" t="n">
        <v>570</v>
      </c>
      <c r="R14" s="55" t="n">
        <v>610</v>
      </c>
      <c r="S14" s="55" t="n">
        <v>650</v>
      </c>
      <c r="T14" s="56" t="n">
        <f aca="false">SUM(B14:S14)</f>
        <v>5140</v>
      </c>
    </row>
    <row r="15" customFormat="false" ht="15.75" hidden="false" customHeight="true" outlineLevel="0" collapsed="false">
      <c r="A15" s="83" t="s">
        <v>248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</row>
    <row r="16" customFormat="false" ht="15.75" hidden="false" customHeight="true" outlineLevel="0" collapsed="false">
      <c r="A16" s="82" t="s">
        <v>249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</row>
    <row r="17" customFormat="false" ht="15" hidden="false" customHeight="true" outlineLevel="0" collapsed="false">
      <c r="A17" s="41" t="s">
        <v>250</v>
      </c>
      <c r="B17" s="55" t="n">
        <v>30</v>
      </c>
      <c r="C17" s="55" t="n">
        <v>30</v>
      </c>
      <c r="D17" s="55" t="n">
        <v>30</v>
      </c>
      <c r="E17" s="55" t="n">
        <v>32</v>
      </c>
      <c r="F17" s="55" t="n">
        <v>35</v>
      </c>
      <c r="G17" s="55" t="n">
        <v>38</v>
      </c>
      <c r="H17" s="55" t="n">
        <v>40</v>
      </c>
      <c r="I17" s="55" t="n">
        <v>43</v>
      </c>
      <c r="J17" s="55" t="n">
        <v>45</v>
      </c>
      <c r="K17" s="55" t="n">
        <v>48</v>
      </c>
      <c r="L17" s="55" t="n">
        <v>52</v>
      </c>
      <c r="M17" s="55" t="n">
        <v>56</v>
      </c>
      <c r="N17" s="55" t="n">
        <v>60</v>
      </c>
      <c r="O17" s="55" t="n">
        <v>64</v>
      </c>
      <c r="P17" s="55" t="n">
        <v>68</v>
      </c>
      <c r="Q17" s="55" t="n">
        <v>72</v>
      </c>
      <c r="R17" s="55" t="n">
        <v>76</v>
      </c>
      <c r="S17" s="55" t="n">
        <v>80</v>
      </c>
      <c r="T17" s="56" t="n">
        <f aca="false">SUM(B17:S17)</f>
        <v>899</v>
      </c>
    </row>
    <row r="18" customFormat="false" ht="19.5" hidden="false" customHeight="true" outlineLevel="0" collapsed="false">
      <c r="A18" s="45" t="s">
        <v>251</v>
      </c>
      <c r="B18" s="46" t="n">
        <f aca="false">B5+B8+B11+B14+B17</f>
        <v>150</v>
      </c>
      <c r="C18" s="46" t="n">
        <f aca="false">C5+C8+C11+C14+C17</f>
        <v>175</v>
      </c>
      <c r="D18" s="46" t="n">
        <f aca="false">D5+D8+D11+D14+D17</f>
        <v>220</v>
      </c>
      <c r="E18" s="46" t="n">
        <f aca="false">E5+E8+E11+E14+E17</f>
        <v>277</v>
      </c>
      <c r="F18" s="46" t="n">
        <f aca="false">F5+F8+F11+F14+F17</f>
        <v>400</v>
      </c>
      <c r="G18" s="46" t="n">
        <f aca="false">G5+G8+G11+G14+G17</f>
        <v>513</v>
      </c>
      <c r="H18" s="46" t="n">
        <f aca="false">H5+H8+H11+H14+H17</f>
        <v>610</v>
      </c>
      <c r="I18" s="46" t="n">
        <f aca="false">I5+I8+I11+I14+I17</f>
        <v>733</v>
      </c>
      <c r="J18" s="46" t="n">
        <f aca="false">J5+J8+J11+J14+J17</f>
        <v>880</v>
      </c>
      <c r="K18" s="46" t="n">
        <f aca="false">K5+K8+K11+K14+K17</f>
        <v>1033</v>
      </c>
      <c r="L18" s="46" t="n">
        <f aca="false">L5+L8+L11+L14+L17</f>
        <v>1207</v>
      </c>
      <c r="M18" s="46" t="n">
        <f aca="false">M5+M8+M11+M14+M17</f>
        <v>1416</v>
      </c>
      <c r="N18" s="46" t="n">
        <f aca="false">N5+N8+N11+N14+N17</f>
        <v>1635</v>
      </c>
      <c r="O18" s="46" t="n">
        <f aca="false">O5+O8+O11+O14+O17</f>
        <v>1834</v>
      </c>
      <c r="P18" s="46" t="n">
        <f aca="false">P5+P8+P11+P14+P17</f>
        <v>2033</v>
      </c>
      <c r="Q18" s="46" t="n">
        <f aca="false">Q5+Q8+Q11+Q14+Q17</f>
        <v>2222</v>
      </c>
      <c r="R18" s="46" t="n">
        <f aca="false">R5+R8+R11+R14+R17</f>
        <v>2396</v>
      </c>
      <c r="S18" s="46" t="n">
        <f aca="false">S5+S8+S11+S14+S17</f>
        <v>2565</v>
      </c>
      <c r="T18" s="46" t="n">
        <f aca="false">SUM(B18:S18)</f>
        <v>20299</v>
      </c>
    </row>
    <row r="19" customFormat="false" ht="15.75" hidden="false" customHeight="true" outlineLevel="0" collapsed="false">
      <c r="A19" s="38" t="s">
        <v>252</v>
      </c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</row>
  </sheetData>
  <mergeCells count="12">
    <mergeCell ref="A1:T1"/>
    <mergeCell ref="A2:T2"/>
    <mergeCell ref="A4:T4"/>
    <mergeCell ref="A6:T6"/>
    <mergeCell ref="A7:T7"/>
    <mergeCell ref="A9:T9"/>
    <mergeCell ref="A10:T10"/>
    <mergeCell ref="A12:T12"/>
    <mergeCell ref="A13:T13"/>
    <mergeCell ref="A15:T15"/>
    <mergeCell ref="A16:T16"/>
    <mergeCell ref="A19:T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39" t="s">
        <v>253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customFormat="false" ht="13.5" hidden="false" customHeight="true" outlineLevel="0" collapsed="false">
      <c r="A2" s="3" t="s">
        <v>254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8" hidden="false" customHeight="true" outlineLevel="0" collapsed="false">
      <c r="A4" s="6" t="s">
        <v>255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customFormat="false" ht="15" hidden="false" customHeight="true" outlineLevel="0" collapsed="false">
      <c r="A5" s="41" t="s">
        <v>256</v>
      </c>
      <c r="B5" s="55" t="n">
        <v>150</v>
      </c>
      <c r="C5" s="55" t="n">
        <v>150</v>
      </c>
      <c r="D5" s="55" t="n">
        <v>160</v>
      </c>
      <c r="E5" s="55" t="n">
        <v>160</v>
      </c>
      <c r="F5" s="55" t="n">
        <v>175</v>
      </c>
      <c r="G5" s="55" t="n">
        <v>175</v>
      </c>
      <c r="H5" s="55" t="n">
        <v>195</v>
      </c>
      <c r="I5" s="55" t="n">
        <v>195</v>
      </c>
      <c r="J5" s="55" t="n">
        <v>210</v>
      </c>
      <c r="K5" s="55" t="n">
        <v>210</v>
      </c>
      <c r="L5" s="55" t="n">
        <v>240</v>
      </c>
      <c r="M5" s="55" t="n">
        <v>240</v>
      </c>
      <c r="N5" s="55" t="n">
        <v>265</v>
      </c>
      <c r="O5" s="55" t="n">
        <v>265</v>
      </c>
      <c r="P5" s="55" t="n">
        <v>285</v>
      </c>
      <c r="Q5" s="55" t="n">
        <v>295</v>
      </c>
      <c r="R5" s="55" t="n">
        <v>315</v>
      </c>
      <c r="S5" s="55" t="n">
        <v>325</v>
      </c>
      <c r="T5" s="56" t="n">
        <f aca="false">SUM(B5:S5)</f>
        <v>4010</v>
      </c>
    </row>
    <row r="6" customFormat="false" ht="15.75" hidden="false" customHeight="true" outlineLevel="0" collapsed="false">
      <c r="A6" s="84" t="s">
        <v>257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</row>
    <row r="7" customFormat="false" ht="18" hidden="false" customHeight="true" outlineLevel="0" collapsed="false">
      <c r="A7" s="6" t="s">
        <v>258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customFormat="false" ht="15" hidden="false" customHeight="true" outlineLevel="0" collapsed="false">
      <c r="A8" s="41" t="s">
        <v>259</v>
      </c>
      <c r="B8" s="55" t="n">
        <v>50</v>
      </c>
      <c r="C8" s="55" t="n">
        <v>50</v>
      </c>
      <c r="D8" s="55" t="n">
        <v>50</v>
      </c>
      <c r="E8" s="55" t="n">
        <v>70</v>
      </c>
      <c r="F8" s="55" t="n">
        <v>70</v>
      </c>
      <c r="G8" s="55" t="n">
        <v>80</v>
      </c>
      <c r="H8" s="55" t="n">
        <v>80</v>
      </c>
      <c r="I8" s="55" t="n">
        <v>100</v>
      </c>
      <c r="J8" s="55" t="n">
        <v>100</v>
      </c>
      <c r="K8" s="55" t="n">
        <v>120</v>
      </c>
      <c r="L8" s="55" t="n">
        <v>150</v>
      </c>
      <c r="M8" s="55" t="n">
        <v>150</v>
      </c>
      <c r="N8" s="55" t="n">
        <v>180</v>
      </c>
      <c r="O8" s="55" t="n">
        <v>180</v>
      </c>
      <c r="P8" s="55" t="n">
        <v>200</v>
      </c>
      <c r="Q8" s="55" t="n">
        <v>200</v>
      </c>
      <c r="R8" s="55" t="n">
        <v>220</v>
      </c>
      <c r="S8" s="55" t="n">
        <v>220</v>
      </c>
      <c r="T8" s="56" t="n">
        <f aca="false">SUM(B8:S8)</f>
        <v>2270</v>
      </c>
    </row>
    <row r="9" customFormat="false" ht="15.75" hidden="false" customHeight="true" outlineLevel="0" collapsed="false">
      <c r="A9" s="84" t="s">
        <v>260</v>
      </c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</row>
    <row r="10" customFormat="false" ht="18" hidden="false" customHeight="true" outlineLevel="0" collapsed="false">
      <c r="A10" s="6" t="s">
        <v>261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customFormat="false" ht="15" hidden="false" customHeight="true" outlineLevel="0" collapsed="false">
      <c r="A11" s="41" t="s">
        <v>262</v>
      </c>
      <c r="B11" s="55" t="n">
        <v>9</v>
      </c>
      <c r="C11" s="55" t="n">
        <v>9</v>
      </c>
      <c r="D11" s="55" t="n">
        <v>9</v>
      </c>
      <c r="E11" s="55" t="n">
        <v>9</v>
      </c>
      <c r="F11" s="55" t="n">
        <v>9</v>
      </c>
      <c r="G11" s="55" t="n">
        <v>9</v>
      </c>
      <c r="H11" s="55" t="n">
        <v>9</v>
      </c>
      <c r="I11" s="55" t="n">
        <v>9</v>
      </c>
      <c r="J11" s="55" t="n">
        <v>9</v>
      </c>
      <c r="K11" s="55" t="n">
        <v>9</v>
      </c>
      <c r="L11" s="55" t="n">
        <v>9</v>
      </c>
      <c r="M11" s="55" t="n">
        <v>9</v>
      </c>
      <c r="N11" s="55" t="n">
        <v>9</v>
      </c>
      <c r="O11" s="55" t="n">
        <v>9</v>
      </c>
      <c r="P11" s="55" t="n">
        <v>9</v>
      </c>
      <c r="Q11" s="55" t="n">
        <v>9</v>
      </c>
      <c r="R11" s="55" t="n">
        <v>9</v>
      </c>
      <c r="S11" s="55" t="n">
        <v>9</v>
      </c>
      <c r="T11" s="56" t="n">
        <f aca="false">SUM(B11:S11)</f>
        <v>162</v>
      </c>
    </row>
    <row r="12" customFormat="false" ht="18" hidden="false" customHeight="true" outlineLevel="0" collapsed="false">
      <c r="A12" s="6" t="s">
        <v>263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customFormat="false" ht="15" hidden="false" customHeight="true" outlineLevel="0" collapsed="false">
      <c r="A13" s="41" t="s">
        <v>264</v>
      </c>
      <c r="B13" s="55" t="n">
        <v>15</v>
      </c>
      <c r="C13" s="55" t="n">
        <v>20</v>
      </c>
      <c r="D13" s="55" t="n">
        <v>30</v>
      </c>
      <c r="E13" s="55" t="n">
        <v>45</v>
      </c>
      <c r="F13" s="55" t="n">
        <v>60</v>
      </c>
      <c r="G13" s="55" t="n">
        <v>80</v>
      </c>
      <c r="H13" s="55" t="n">
        <v>100</v>
      </c>
      <c r="I13" s="55" t="n">
        <v>120</v>
      </c>
      <c r="J13" s="55" t="n">
        <v>145</v>
      </c>
      <c r="K13" s="55" t="n">
        <v>170</v>
      </c>
      <c r="L13" s="55" t="n">
        <v>200</v>
      </c>
      <c r="M13" s="55" t="n">
        <v>240</v>
      </c>
      <c r="N13" s="55" t="n">
        <v>285</v>
      </c>
      <c r="O13" s="55" t="n">
        <v>320</v>
      </c>
      <c r="P13" s="55" t="n">
        <v>360</v>
      </c>
      <c r="Q13" s="55" t="n">
        <v>395</v>
      </c>
      <c r="R13" s="55" t="n">
        <v>430</v>
      </c>
      <c r="S13" s="55" t="n">
        <v>475</v>
      </c>
      <c r="T13" s="56" t="n">
        <f aca="false">SUM(B13:S13)</f>
        <v>3490</v>
      </c>
    </row>
    <row r="14" customFormat="false" ht="15.75" hidden="false" customHeight="true" outlineLevel="0" collapsed="false">
      <c r="A14" s="84" t="s">
        <v>265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</row>
    <row r="15" customFormat="false" ht="18" hidden="false" customHeight="true" outlineLevel="0" collapsed="false">
      <c r="A15" s="6" t="s">
        <v>266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customFormat="false" ht="15" hidden="false" customHeight="true" outlineLevel="0" collapsed="false">
      <c r="A16" s="41" t="s">
        <v>267</v>
      </c>
      <c r="B16" s="55" t="n">
        <v>43</v>
      </c>
      <c r="C16" s="55" t="n">
        <v>43</v>
      </c>
      <c r="D16" s="55" t="n">
        <v>43</v>
      </c>
      <c r="E16" s="55" t="n">
        <v>43</v>
      </c>
      <c r="F16" s="55" t="n">
        <v>43</v>
      </c>
      <c r="G16" s="55" t="n">
        <v>43</v>
      </c>
      <c r="H16" s="55" t="n">
        <v>43</v>
      </c>
      <c r="I16" s="55" t="n">
        <v>43</v>
      </c>
      <c r="J16" s="55" t="n">
        <v>43</v>
      </c>
      <c r="K16" s="55" t="n">
        <v>43</v>
      </c>
      <c r="L16" s="55" t="n">
        <v>43</v>
      </c>
      <c r="M16" s="55" t="n">
        <v>43</v>
      </c>
      <c r="N16" s="55" t="n">
        <v>43</v>
      </c>
      <c r="O16" s="55" t="n">
        <v>43</v>
      </c>
      <c r="P16" s="55" t="n">
        <v>43</v>
      </c>
      <c r="Q16" s="55" t="n">
        <v>43</v>
      </c>
      <c r="R16" s="55" t="n">
        <v>43</v>
      </c>
      <c r="S16" s="55" t="n">
        <v>43</v>
      </c>
      <c r="T16" s="56" t="n">
        <f aca="false">SUM(B16:S16)</f>
        <v>774</v>
      </c>
    </row>
    <row r="17" customFormat="false" ht="19.5" hidden="false" customHeight="true" outlineLevel="0" collapsed="false">
      <c r="A17" s="45" t="s">
        <v>268</v>
      </c>
      <c r="B17" s="46" t="n">
        <f aca="false">B5+B8+B11+B13+B16</f>
        <v>267</v>
      </c>
      <c r="C17" s="46" t="n">
        <f aca="false">C5+C8+C11+C13+C16</f>
        <v>272</v>
      </c>
      <c r="D17" s="46" t="n">
        <f aca="false">D5+D8+D11+D13+D16</f>
        <v>292</v>
      </c>
      <c r="E17" s="46" t="n">
        <f aca="false">E5+E8+E11+E13+E16</f>
        <v>327</v>
      </c>
      <c r="F17" s="46" t="n">
        <f aca="false">F5+F8+F11+F13+F16</f>
        <v>357</v>
      </c>
      <c r="G17" s="46" t="n">
        <f aca="false">G5+G8+G11+G13+G16</f>
        <v>387</v>
      </c>
      <c r="H17" s="46" t="n">
        <f aca="false">H5+H8+H11+H13+H16</f>
        <v>427</v>
      </c>
      <c r="I17" s="46" t="n">
        <f aca="false">I5+I8+I11+I13+I16</f>
        <v>467</v>
      </c>
      <c r="J17" s="46" t="n">
        <f aca="false">J5+J8+J11+J13+J16</f>
        <v>507</v>
      </c>
      <c r="K17" s="46" t="n">
        <f aca="false">K5+K8+K11+K13+K16</f>
        <v>552</v>
      </c>
      <c r="L17" s="46" t="n">
        <f aca="false">L5+L8+L11+L13+L16</f>
        <v>642</v>
      </c>
      <c r="M17" s="46" t="n">
        <f aca="false">M5+M8+M11+M13+M16</f>
        <v>682</v>
      </c>
      <c r="N17" s="46" t="n">
        <f aca="false">N5+N8+N11+N13+N16</f>
        <v>782</v>
      </c>
      <c r="O17" s="46" t="n">
        <f aca="false">O5+O8+O11+O13+O16</f>
        <v>817</v>
      </c>
      <c r="P17" s="46" t="n">
        <f aca="false">P5+P8+P11+P13+P16</f>
        <v>897</v>
      </c>
      <c r="Q17" s="46" t="n">
        <f aca="false">Q5+Q8+Q11+Q13+Q16</f>
        <v>942</v>
      </c>
      <c r="R17" s="46" t="n">
        <f aca="false">R5+R8+R11+R13+R16</f>
        <v>1017</v>
      </c>
      <c r="S17" s="46" t="n">
        <f aca="false">S5+S8+S11+S13+S16</f>
        <v>1072</v>
      </c>
      <c r="T17" s="46" t="n">
        <f aca="false">SUM(B17:S17)</f>
        <v>10706</v>
      </c>
    </row>
  </sheetData>
  <mergeCells count="10">
    <mergeCell ref="A1:T1"/>
    <mergeCell ref="A2:T2"/>
    <mergeCell ref="A4:T4"/>
    <mergeCell ref="A6:T6"/>
    <mergeCell ref="A7:T7"/>
    <mergeCell ref="A9:T9"/>
    <mergeCell ref="A10:T10"/>
    <mergeCell ref="A12:T12"/>
    <mergeCell ref="A14:T14"/>
    <mergeCell ref="A15:T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85" t="s">
        <v>269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2" customFormat="false" ht="13.5" hidden="false" customHeight="true" outlineLevel="0" collapsed="false">
      <c r="A2" s="3" t="s">
        <v>270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5.75" hidden="false" customHeight="true" outlineLevel="0" collapsed="false">
      <c r="A4" s="86" t="s">
        <v>271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</row>
    <row r="5" customFormat="false" ht="15.75" hidden="false" customHeight="true" outlineLevel="0" collapsed="false">
      <c r="A5" s="87" t="s">
        <v>272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</row>
    <row r="6" customFormat="false" ht="15" hidden="false" customHeight="true" outlineLevel="0" collapsed="false">
      <c r="A6" s="88" t="s">
        <v>273</v>
      </c>
      <c r="B6" s="89" t="n">
        <v>0</v>
      </c>
      <c r="C6" s="89" t="n">
        <v>0</v>
      </c>
      <c r="D6" s="89" t="n">
        <v>0</v>
      </c>
      <c r="E6" s="89" t="n">
        <v>0</v>
      </c>
      <c r="F6" s="76" t="n">
        <v>150</v>
      </c>
      <c r="G6" s="76" t="n">
        <v>200</v>
      </c>
      <c r="H6" s="76" t="n">
        <v>250</v>
      </c>
      <c r="I6" s="76" t="n">
        <v>300</v>
      </c>
      <c r="J6" s="76" t="n">
        <v>350</v>
      </c>
      <c r="K6" s="76" t="n">
        <v>400</v>
      </c>
      <c r="L6" s="76" t="n">
        <v>450</v>
      </c>
      <c r="M6" s="76" t="n">
        <v>500</v>
      </c>
      <c r="N6" s="76" t="n">
        <v>550</v>
      </c>
      <c r="O6" s="76" t="n">
        <v>600</v>
      </c>
      <c r="P6" s="76" t="n">
        <v>650</v>
      </c>
      <c r="Q6" s="76" t="n">
        <v>700</v>
      </c>
      <c r="R6" s="76" t="n">
        <v>750</v>
      </c>
      <c r="S6" s="76" t="n">
        <v>800</v>
      </c>
      <c r="T6" s="76" t="n">
        <f aca="false">SUM(B6:S6)</f>
        <v>6650</v>
      </c>
    </row>
    <row r="7" customFormat="false" ht="15.75" hidden="false" customHeight="true" outlineLevel="0" collapsed="false">
      <c r="A7" s="86" t="s">
        <v>274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</row>
    <row r="8" customFormat="false" ht="15.75" hidden="false" customHeight="true" outlineLevel="0" collapsed="false">
      <c r="A8" s="87" t="s">
        <v>275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</row>
    <row r="9" customFormat="false" ht="15" hidden="false" customHeight="true" outlineLevel="0" collapsed="false">
      <c r="A9" s="88" t="s">
        <v>276</v>
      </c>
      <c r="B9" s="76" t="n">
        <v>80</v>
      </c>
      <c r="C9" s="76" t="n">
        <v>80</v>
      </c>
      <c r="D9" s="76" t="n">
        <v>90</v>
      </c>
      <c r="E9" s="76" t="n">
        <v>100</v>
      </c>
      <c r="F9" s="89" t="n">
        <v>0</v>
      </c>
      <c r="G9" s="89" t="n">
        <v>0</v>
      </c>
      <c r="H9" s="89" t="n">
        <v>0</v>
      </c>
      <c r="I9" s="89" t="n">
        <v>0</v>
      </c>
      <c r="J9" s="89" t="n">
        <v>0</v>
      </c>
      <c r="K9" s="89" t="n">
        <v>0</v>
      </c>
      <c r="L9" s="89" t="n">
        <v>0</v>
      </c>
      <c r="M9" s="89" t="n">
        <v>0</v>
      </c>
      <c r="N9" s="89" t="n">
        <v>0</v>
      </c>
      <c r="O9" s="89" t="n">
        <v>0</v>
      </c>
      <c r="P9" s="89" t="n">
        <v>0</v>
      </c>
      <c r="Q9" s="89" t="n">
        <v>0</v>
      </c>
      <c r="R9" s="89" t="n">
        <v>0</v>
      </c>
      <c r="S9" s="89" t="n">
        <v>0</v>
      </c>
      <c r="T9" s="76" t="n">
        <f aca="false">SUM(B9:S9)</f>
        <v>350</v>
      </c>
    </row>
    <row r="10" customFormat="false" ht="15" hidden="false" customHeight="true" outlineLevel="0" collapsed="false">
      <c r="A10" s="88" t="s">
        <v>277</v>
      </c>
      <c r="B10" s="89" t="n">
        <v>0</v>
      </c>
      <c r="C10" s="89" t="n">
        <v>0</v>
      </c>
      <c r="D10" s="89" t="n">
        <v>0</v>
      </c>
      <c r="E10" s="89" t="n">
        <v>0</v>
      </c>
      <c r="F10" s="89" t="n">
        <v>0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0</v>
      </c>
      <c r="L10" s="89" t="n">
        <v>0</v>
      </c>
      <c r="M10" s="89" t="n">
        <v>0</v>
      </c>
      <c r="N10" s="89" t="n">
        <v>0</v>
      </c>
      <c r="O10" s="89" t="n">
        <v>0</v>
      </c>
      <c r="P10" s="89" t="n">
        <v>0</v>
      </c>
      <c r="Q10" s="89" t="n">
        <v>0</v>
      </c>
      <c r="R10" s="89" t="n">
        <v>0</v>
      </c>
      <c r="S10" s="89" t="n">
        <v>0</v>
      </c>
      <c r="T10" s="76" t="n">
        <f aca="false">SUM(B10:S10)</f>
        <v>0</v>
      </c>
    </row>
    <row r="11" customFormat="false" ht="15.75" hidden="false" customHeight="true" outlineLevel="0" collapsed="false">
      <c r="A11" s="87" t="s">
        <v>278</v>
      </c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</row>
    <row r="12" customFormat="false" ht="15" hidden="false" customHeight="true" outlineLevel="0" collapsed="false">
      <c r="A12" s="88" t="s">
        <v>279</v>
      </c>
      <c r="B12" s="76" t="n">
        <v>60</v>
      </c>
      <c r="C12" s="76" t="n">
        <v>70</v>
      </c>
      <c r="D12" s="76" t="n">
        <v>80</v>
      </c>
      <c r="E12" s="76" t="n">
        <v>80</v>
      </c>
      <c r="F12" s="76" t="n">
        <v>80</v>
      </c>
      <c r="G12" s="76" t="n">
        <v>90</v>
      </c>
      <c r="H12" s="76" t="n">
        <v>100</v>
      </c>
      <c r="I12" s="76" t="n">
        <v>100</v>
      </c>
      <c r="J12" s="76" t="n">
        <v>120</v>
      </c>
      <c r="K12" s="76" t="n">
        <v>120</v>
      </c>
      <c r="L12" s="76" t="n">
        <v>140</v>
      </c>
      <c r="M12" s="76" t="n">
        <v>150</v>
      </c>
      <c r="N12" s="76" t="n">
        <v>160</v>
      </c>
      <c r="O12" s="76" t="n">
        <v>170</v>
      </c>
      <c r="P12" s="76" t="n">
        <v>180</v>
      </c>
      <c r="Q12" s="76" t="n">
        <v>190</v>
      </c>
      <c r="R12" s="76" t="n">
        <v>200</v>
      </c>
      <c r="S12" s="76" t="n">
        <v>210</v>
      </c>
      <c r="T12" s="76" t="n">
        <f aca="false">SUM(B12:S12)</f>
        <v>2300</v>
      </c>
    </row>
    <row r="13" customFormat="false" ht="15.75" hidden="false" customHeight="true" outlineLevel="0" collapsed="false">
      <c r="A13" s="86" t="s">
        <v>280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</row>
    <row r="14" customFormat="false" ht="15.75" hidden="false" customHeight="true" outlineLevel="0" collapsed="false">
      <c r="A14" s="87" t="s">
        <v>281</v>
      </c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</row>
    <row r="15" customFormat="false" ht="15" hidden="false" customHeight="true" outlineLevel="0" collapsed="false">
      <c r="A15" s="88" t="s">
        <v>282</v>
      </c>
      <c r="B15" s="76" t="n">
        <v>30</v>
      </c>
      <c r="C15" s="76" t="n">
        <v>30</v>
      </c>
      <c r="D15" s="76" t="n">
        <v>50</v>
      </c>
      <c r="E15" s="76" t="n">
        <v>50</v>
      </c>
      <c r="F15" s="76" t="n">
        <v>80</v>
      </c>
      <c r="G15" s="76" t="n">
        <v>100</v>
      </c>
      <c r="H15" s="76" t="n">
        <v>120</v>
      </c>
      <c r="I15" s="76" t="n">
        <v>150</v>
      </c>
      <c r="J15" s="76" t="n">
        <v>170</v>
      </c>
      <c r="K15" s="76" t="n">
        <v>180</v>
      </c>
      <c r="L15" s="76" t="n">
        <v>200</v>
      </c>
      <c r="M15" s="76" t="n">
        <v>220</v>
      </c>
      <c r="N15" s="76" t="n">
        <v>250</v>
      </c>
      <c r="O15" s="76" t="n">
        <v>270</v>
      </c>
      <c r="P15" s="76" t="n">
        <v>300</v>
      </c>
      <c r="Q15" s="76" t="n">
        <v>320</v>
      </c>
      <c r="R15" s="76" t="n">
        <v>340</v>
      </c>
      <c r="S15" s="76" t="n">
        <v>360</v>
      </c>
      <c r="T15" s="76" t="n">
        <f aca="false">SUM(B15:S15)</f>
        <v>3220</v>
      </c>
    </row>
    <row r="16" customFormat="false" ht="4.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customFormat="false" ht="15.75" hidden="false" customHeight="true" outlineLevel="0" collapsed="false">
      <c r="A17" s="40" t="s">
        <v>283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</row>
    <row r="18" customFormat="false" ht="15" hidden="false" customHeight="true" outlineLevel="0" collapsed="false">
      <c r="A18" s="90" t="s">
        <v>284</v>
      </c>
      <c r="B18" s="91" t="n">
        <f aca="false">IF(B6&gt;0,(B6+B9+B10+B12+B15)/MAX(1,B6/100),(B9+B10+B12+B15)/MAX(1,1))</f>
        <v>170</v>
      </c>
      <c r="C18" s="91" t="n">
        <f aca="false">IF(B6&gt;0,(C6+C9+C10+C12+C15)/MAX(1,C6/100),(C9+C10+C12+C15)/MAX(1,1))</f>
        <v>180</v>
      </c>
      <c r="D18" s="91" t="n">
        <f aca="false">IF(B6&gt;0,(D6+D9+D10+D12+D15)/MAX(1,D6/100),(D9+D10+D12+D15)/MAX(1,1))</f>
        <v>220</v>
      </c>
      <c r="E18" s="91" t="n">
        <f aca="false">IF(B6&gt;0,(E6+E9+E10+E12+E15)/MAX(1,E6/100),(E9+E10+E12+E15)/MAX(1,1))</f>
        <v>230</v>
      </c>
      <c r="F18" s="91" t="n">
        <f aca="false">IF(B6&gt;0,(F6+F9+F10+F12+F15)/MAX(1,F6/100),(F9+F10+F12+F15)/MAX(1,1))</f>
        <v>160</v>
      </c>
      <c r="G18" s="91" t="n">
        <f aca="false">IF(B6&gt;0,(G6+G9+G10+G12+G15)/MAX(1,G6/100),(G9+G10+G12+G15)/MAX(1,1))</f>
        <v>190</v>
      </c>
      <c r="H18" s="91" t="n">
        <f aca="false">IF(B6&gt;0,(H6+H9+H10+H12+H15)/MAX(1,H6/100),(H9+H10+H12+H15)/MAX(1,1))</f>
        <v>220</v>
      </c>
      <c r="I18" s="91" t="n">
        <f aca="false">IF(B6&gt;0,(I6+I9+I10+I12+I15)/MAX(1,I6/100),(I9+I10+I12+I15)/MAX(1,1))</f>
        <v>250</v>
      </c>
      <c r="J18" s="91" t="n">
        <f aca="false">IF(B6&gt;0,(J6+J9+J10+J12+J15)/MAX(1,J6/100),(J9+J10+J12+J15)/MAX(1,1))</f>
        <v>290</v>
      </c>
      <c r="K18" s="91" t="n">
        <f aca="false">IF(B6&gt;0,(K6+K9+K10+K12+K15)/MAX(1,K6/100),(K9+K10+K12+K15)/MAX(1,1))</f>
        <v>300</v>
      </c>
      <c r="L18" s="91" t="n">
        <f aca="false">IF(B6&gt;0,(L6+L9+L10+L12+L15)/MAX(1,L6/100),(L9+L10+L12+L15)/MAX(1,1))</f>
        <v>340</v>
      </c>
      <c r="M18" s="91" t="n">
        <f aca="false">IF(B6&gt;0,(M6+M9+M10+M12+M15)/MAX(1,M6/100),(M9+M10+M12+M15)/MAX(1,1))</f>
        <v>370</v>
      </c>
      <c r="N18" s="91" t="n">
        <f aca="false">IF(B6&gt;0,(N6+N9+N10+N12+N15)/MAX(1,N6/100),(N9+N10+N12+N15)/MAX(1,1))</f>
        <v>410</v>
      </c>
      <c r="O18" s="91" t="n">
        <f aca="false">IF(B6&gt;0,(O6+O9+O10+O12+O15)/MAX(1,O6/100),(O9+O10+O12+O15)/MAX(1,1))</f>
        <v>440</v>
      </c>
      <c r="P18" s="91" t="n">
        <f aca="false">IF(B6&gt;0,(P6+P9+P10+P12+P15)/MAX(1,P6/100),(P9+P10+P12+P15)/MAX(1,1))</f>
        <v>480</v>
      </c>
      <c r="Q18" s="91" t="n">
        <f aca="false">IF(B6&gt;0,(Q6+Q9+Q10+Q12+Q15)/MAX(1,Q6/100),(Q9+Q10+Q12+Q15)/MAX(1,1))</f>
        <v>510</v>
      </c>
      <c r="R18" s="91" t="n">
        <f aca="false">IF(B6&gt;0,(R6+R9+R10+R12+R15)/MAX(1,R6/100),(R9+R10+R12+R15)/MAX(1,1))</f>
        <v>540</v>
      </c>
      <c r="S18" s="91" t="n">
        <f aca="false">IF(B6&gt;0,(S6+S9+S10+S12+S15)/MAX(1,S6/100),(S9+S10+S12+S15)/MAX(1,1))</f>
        <v>570</v>
      </c>
      <c r="T18" s="92" t="s">
        <v>285</v>
      </c>
    </row>
    <row r="19" customFormat="false" ht="15" hidden="false" customHeight="true" outlineLevel="0" collapsed="false">
      <c r="A19" s="90" t="s">
        <v>286</v>
      </c>
      <c r="B19" s="93" t="n">
        <f aca="false">IF('A — Ricavi'!B31&gt;0,B26/'A — Ricavi'!B31,0)</f>
        <v>0</v>
      </c>
      <c r="C19" s="93" t="n">
        <f aca="false">IF('A — Ricavi'!C31&gt;0,C26/'A — Ricavi'!C31,0)</f>
        <v>0</v>
      </c>
      <c r="D19" s="93" t="n">
        <f aca="false">IF('A — Ricavi'!D31&gt;0,D26/'A — Ricavi'!D31,0)</f>
        <v>0</v>
      </c>
      <c r="E19" s="93" t="n">
        <f aca="false">IF('A — Ricavi'!E31&gt;0,E26/'A — Ricavi'!E31,0)</f>
        <v>0</v>
      </c>
      <c r="F19" s="93" t="n">
        <f aca="false">IF('A — Ricavi'!F31&gt;0,F26/'A — Ricavi'!F31,0)</f>
        <v>0</v>
      </c>
      <c r="G19" s="93" t="n">
        <f aca="false">IF('A — Ricavi'!G31&gt;0,G26/'A — Ricavi'!G31,0)</f>
        <v>0</v>
      </c>
      <c r="H19" s="93" t="n">
        <f aca="false">IF('A — Ricavi'!H31&gt;0,H26/'A — Ricavi'!H31,0)</f>
        <v>0</v>
      </c>
      <c r="I19" s="93" t="n">
        <f aca="false">IF('A — Ricavi'!I31&gt;0,I26/'A — Ricavi'!I31,0)</f>
        <v>0</v>
      </c>
      <c r="J19" s="93" t="n">
        <f aca="false">IF('A — Ricavi'!J31&gt;0,J26/'A — Ricavi'!J31,0)</f>
        <v>0</v>
      </c>
      <c r="K19" s="93" t="n">
        <f aca="false">IF('A — Ricavi'!K31&gt;0,K26/'A — Ricavi'!K31,0)</f>
        <v>0</v>
      </c>
      <c r="L19" s="93" t="n">
        <f aca="false">IF('A — Ricavi'!L31&gt;0,L26/'A — Ricavi'!L31,0)</f>
        <v>0</v>
      </c>
      <c r="M19" s="93" t="n">
        <f aca="false">IF('A — Ricavi'!M31&gt;0,M26/'A — Ricavi'!M31,0)</f>
        <v>0</v>
      </c>
      <c r="N19" s="93" t="n">
        <f aca="false">IF('A — Ricavi'!N31&gt;0,N26/'A — Ricavi'!N31,0)</f>
        <v>0</v>
      </c>
      <c r="O19" s="93" t="n">
        <f aca="false">IF('A — Ricavi'!O31&gt;0,O26/'A — Ricavi'!O31,0)</f>
        <v>0</v>
      </c>
      <c r="P19" s="93" t="n">
        <f aca="false">IF('A — Ricavi'!P31&gt;0,P26/'A — Ricavi'!P31,0)</f>
        <v>0</v>
      </c>
      <c r="Q19" s="93" t="n">
        <f aca="false">IF('A — Ricavi'!Q31&gt;0,Q26/'A — Ricavi'!Q31,0)</f>
        <v>0</v>
      </c>
      <c r="R19" s="93" t="n">
        <f aca="false">IF('A — Ricavi'!R31&gt;0,R26/'A — Ricavi'!R31,0)</f>
        <v>0</v>
      </c>
      <c r="S19" s="93" t="n">
        <f aca="false">IF('A — Ricavi'!S31&gt;0,S26/'A — Ricavi'!S31,0)</f>
        <v>0</v>
      </c>
      <c r="T19" s="94" t="n">
        <f aca="false">AVERAGE(B19:S19)</f>
        <v>0</v>
      </c>
    </row>
    <row r="20" customFormat="false" ht="4.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customFormat="false" ht="15.75" hidden="false" customHeight="true" outlineLevel="0" collapsed="false">
      <c r="A21" s="40" t="s">
        <v>287</v>
      </c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</row>
    <row r="22" customFormat="false" ht="15.75" hidden="false" customHeight="true" outlineLevel="0" collapsed="false">
      <c r="A22" s="95" t="s">
        <v>288</v>
      </c>
      <c r="B22" s="96" t="s">
        <v>289</v>
      </c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</row>
    <row r="23" customFormat="false" ht="15.75" hidden="false" customHeight="true" outlineLevel="0" collapsed="false">
      <c r="A23" s="95" t="s">
        <v>290</v>
      </c>
      <c r="B23" s="96" t="s">
        <v>291</v>
      </c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</row>
    <row r="24" customFormat="false" ht="15.75" hidden="false" customHeight="true" outlineLevel="0" collapsed="false">
      <c r="A24" s="95" t="s">
        <v>292</v>
      </c>
      <c r="B24" s="96" t="s">
        <v>293</v>
      </c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</row>
    <row r="25" customFormat="false" ht="15.75" hidden="false" customHeight="true" outlineLevel="0" collapsed="false">
      <c r="A25" s="95" t="s">
        <v>294</v>
      </c>
      <c r="B25" s="96" t="s">
        <v>295</v>
      </c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</row>
    <row r="26" customFormat="false" ht="15.75" hidden="false" customHeight="true" outlineLevel="0" collapsed="false">
      <c r="A26" s="95" t="s">
        <v>296</v>
      </c>
      <c r="B26" s="96" t="s">
        <v>297</v>
      </c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</row>
    <row r="27" customFormat="false" ht="4.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</row>
    <row r="28" customFormat="false" ht="19.5" hidden="false" customHeight="true" outlineLevel="0" collapsed="false">
      <c r="A28" s="97" t="s">
        <v>298</v>
      </c>
      <c r="B28" s="98" t="n">
        <f aca="false">B6+B9+B10+B12+B15</f>
        <v>170</v>
      </c>
      <c r="C28" s="98" t="n">
        <f aca="false">C6+C9+C10+C12+C15</f>
        <v>180</v>
      </c>
      <c r="D28" s="98" t="n">
        <f aca="false">D6+D9+D10+D12+D15</f>
        <v>220</v>
      </c>
      <c r="E28" s="98" t="n">
        <f aca="false">E6+E9+E10+E12+E15</f>
        <v>230</v>
      </c>
      <c r="F28" s="98" t="n">
        <f aca="false">F6+F9+F10+F12+F15</f>
        <v>310</v>
      </c>
      <c r="G28" s="98" t="n">
        <f aca="false">G6+G9+G10+G12+G15</f>
        <v>390</v>
      </c>
      <c r="H28" s="98" t="n">
        <f aca="false">H6+H9+H10+H12+H15</f>
        <v>470</v>
      </c>
      <c r="I28" s="98" t="n">
        <f aca="false">I6+I9+I10+I12+I15</f>
        <v>550</v>
      </c>
      <c r="J28" s="98" t="n">
        <f aca="false">J6+J9+J10+J12+J15</f>
        <v>640</v>
      </c>
      <c r="K28" s="98" t="n">
        <f aca="false">K6+K9+K10+K12+K15</f>
        <v>700</v>
      </c>
      <c r="L28" s="98" t="n">
        <f aca="false">L6+L9+L10+L12+L15</f>
        <v>790</v>
      </c>
      <c r="M28" s="98" t="n">
        <f aca="false">M6+M9+M10+M12+M15</f>
        <v>870</v>
      </c>
      <c r="N28" s="98" t="n">
        <f aca="false">N6+N9+N10+N12+N15</f>
        <v>960</v>
      </c>
      <c r="O28" s="98" t="n">
        <f aca="false">O6+O9+O10+O12+O15</f>
        <v>1040</v>
      </c>
      <c r="P28" s="98" t="n">
        <f aca="false">P6+P9+P10+P12+P15</f>
        <v>1130</v>
      </c>
      <c r="Q28" s="98" t="n">
        <f aca="false">Q6+Q9+Q10+Q12+Q15</f>
        <v>1210</v>
      </c>
      <c r="R28" s="98" t="n">
        <f aca="false">R6+R9+R10+R12+R15</f>
        <v>1290</v>
      </c>
      <c r="S28" s="98" t="n">
        <f aca="false">S6+S9+S10+S12+S15</f>
        <v>1370</v>
      </c>
      <c r="T28" s="98" t="n">
        <f aca="false">SUM(B26:S26)</f>
        <v>0</v>
      </c>
    </row>
  </sheetData>
  <mergeCells count="19">
    <mergeCell ref="A1:T1"/>
    <mergeCell ref="A2:T2"/>
    <mergeCell ref="A4:T4"/>
    <mergeCell ref="A5:T5"/>
    <mergeCell ref="A7:T7"/>
    <mergeCell ref="A8:T8"/>
    <mergeCell ref="A11:T11"/>
    <mergeCell ref="A13:T13"/>
    <mergeCell ref="A14:T14"/>
    <mergeCell ref="A16:T16"/>
    <mergeCell ref="A17:T17"/>
    <mergeCell ref="A20:T20"/>
    <mergeCell ref="A21:T21"/>
    <mergeCell ref="B22:T22"/>
    <mergeCell ref="B23:T23"/>
    <mergeCell ref="B24:T24"/>
    <mergeCell ref="B25:T25"/>
    <mergeCell ref="B26:T26"/>
    <mergeCell ref="A27:T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99" t="s">
        <v>299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customFormat="false" ht="13.5" hidden="false" customHeight="true" outlineLevel="0" collapsed="false">
      <c r="A2" s="3" t="s">
        <v>300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5.75" hidden="false" customHeight="true" outlineLevel="0" collapsed="false">
      <c r="A4" s="86" t="s">
        <v>301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</row>
    <row r="5" customFormat="false" ht="15.75" hidden="false" customHeight="true" outlineLevel="0" collapsed="false">
      <c r="A5" s="87" t="s">
        <v>302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</row>
    <row r="6" customFormat="false" ht="15" hidden="false" customHeight="true" outlineLevel="0" collapsed="false">
      <c r="A6" s="88" t="s">
        <v>303</v>
      </c>
      <c r="B6" s="76" t="n">
        <v>2000</v>
      </c>
      <c r="C6" s="76" t="n">
        <v>2000</v>
      </c>
      <c r="D6" s="76" t="n">
        <v>2000</v>
      </c>
      <c r="E6" s="76" t="n">
        <v>2000</v>
      </c>
      <c r="F6" s="76" t="n">
        <v>2000</v>
      </c>
      <c r="G6" s="76" t="n">
        <v>2000</v>
      </c>
      <c r="H6" s="76" t="n">
        <v>2500</v>
      </c>
      <c r="I6" s="76" t="n">
        <v>2500</v>
      </c>
      <c r="J6" s="76" t="n">
        <v>2500</v>
      </c>
      <c r="K6" s="76" t="n">
        <v>2500</v>
      </c>
      <c r="L6" s="76" t="n">
        <v>3000</v>
      </c>
      <c r="M6" s="76" t="n">
        <v>3000</v>
      </c>
      <c r="N6" s="76" t="n">
        <v>3000</v>
      </c>
      <c r="O6" s="76" t="n">
        <v>3500</v>
      </c>
      <c r="P6" s="76" t="n">
        <v>3500</v>
      </c>
      <c r="Q6" s="76" t="n">
        <v>3500</v>
      </c>
      <c r="R6" s="76" t="n">
        <v>3500</v>
      </c>
      <c r="S6" s="76" t="n">
        <v>3500</v>
      </c>
      <c r="T6" s="76" t="n">
        <f aca="false">SUM(B6:S6)</f>
        <v>48500</v>
      </c>
    </row>
    <row r="7" customFormat="false" ht="15.75" hidden="false" customHeight="true" outlineLevel="0" collapsed="false">
      <c r="A7" s="86" t="s">
        <v>304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</row>
    <row r="8" customFormat="false" ht="15.75" hidden="false" customHeight="true" outlineLevel="0" collapsed="false">
      <c r="A8" s="100" t="s">
        <v>305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</row>
    <row r="9" customFormat="false" ht="15" hidden="false" customHeight="true" outlineLevel="0" collapsed="false">
      <c r="A9" s="41" t="s">
        <v>306</v>
      </c>
      <c r="B9" s="55" t="n">
        <v>1500</v>
      </c>
      <c r="C9" s="55" t="n">
        <v>1500</v>
      </c>
      <c r="D9" s="55" t="n">
        <v>1500</v>
      </c>
      <c r="E9" s="55" t="n">
        <v>1500</v>
      </c>
      <c r="F9" s="55" t="n">
        <v>1500</v>
      </c>
      <c r="G9" s="55" t="n">
        <v>1500</v>
      </c>
      <c r="H9" s="55" t="n">
        <v>2000</v>
      </c>
      <c r="I9" s="55" t="n">
        <v>2000</v>
      </c>
      <c r="J9" s="55" t="n">
        <v>2000</v>
      </c>
      <c r="K9" s="55" t="n">
        <v>2000</v>
      </c>
      <c r="L9" s="55" t="n">
        <v>2500</v>
      </c>
      <c r="M9" s="55" t="n">
        <v>2500</v>
      </c>
      <c r="N9" s="55" t="n">
        <v>2500</v>
      </c>
      <c r="O9" s="55" t="n">
        <v>3000</v>
      </c>
      <c r="P9" s="55" t="n">
        <v>3000</v>
      </c>
      <c r="Q9" s="55" t="n">
        <v>3000</v>
      </c>
      <c r="R9" s="55" t="n">
        <v>3000</v>
      </c>
      <c r="S9" s="55" t="n">
        <v>3000</v>
      </c>
      <c r="T9" s="56" t="n">
        <f aca="false">SUM(B9:S9)</f>
        <v>39500</v>
      </c>
    </row>
    <row r="10" customFormat="false" ht="15.75" hidden="false" customHeight="true" outlineLevel="0" collapsed="false">
      <c r="A10" s="100" t="s">
        <v>307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</row>
    <row r="11" customFormat="false" ht="15" hidden="false" customHeight="true" outlineLevel="0" collapsed="false">
      <c r="A11" s="41" t="s">
        <v>308</v>
      </c>
      <c r="B11" s="54" t="n">
        <v>0</v>
      </c>
      <c r="C11" s="54" t="n">
        <v>0</v>
      </c>
      <c r="D11" s="54" t="n">
        <v>0</v>
      </c>
      <c r="E11" s="54" t="n">
        <v>0</v>
      </c>
      <c r="F11" s="54" t="n">
        <v>0</v>
      </c>
      <c r="G11" s="54" t="n">
        <v>0</v>
      </c>
      <c r="H11" s="55" t="n">
        <v>1000</v>
      </c>
      <c r="I11" s="55" t="n">
        <v>1000</v>
      </c>
      <c r="J11" s="55" t="n">
        <v>1000</v>
      </c>
      <c r="K11" s="55" t="n">
        <v>1000</v>
      </c>
      <c r="L11" s="55" t="n">
        <v>1200</v>
      </c>
      <c r="M11" s="55" t="n">
        <v>1200</v>
      </c>
      <c r="N11" s="55" t="n">
        <v>1200</v>
      </c>
      <c r="O11" s="55" t="n">
        <v>1500</v>
      </c>
      <c r="P11" s="55" t="n">
        <v>1500</v>
      </c>
      <c r="Q11" s="55" t="n">
        <v>1500</v>
      </c>
      <c r="R11" s="55" t="n">
        <v>1500</v>
      </c>
      <c r="S11" s="55" t="n">
        <v>1500</v>
      </c>
      <c r="T11" s="56" t="n">
        <f aca="false">SUM(B11:S11)</f>
        <v>15100</v>
      </c>
    </row>
    <row r="12" customFormat="false" ht="15.75" hidden="false" customHeight="true" outlineLevel="0" collapsed="false">
      <c r="A12" s="100" t="s">
        <v>309</v>
      </c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</row>
    <row r="13" customFormat="false" ht="15" hidden="false" customHeight="true" outlineLevel="0" collapsed="false">
      <c r="A13" s="41" t="s">
        <v>310</v>
      </c>
      <c r="B13" s="54" t="n">
        <v>0</v>
      </c>
      <c r="C13" s="54" t="n">
        <v>0</v>
      </c>
      <c r="D13" s="54" t="n">
        <v>0</v>
      </c>
      <c r="E13" s="55" t="n">
        <v>900</v>
      </c>
      <c r="F13" s="55" t="n">
        <v>900</v>
      </c>
      <c r="G13" s="55" t="n">
        <v>900</v>
      </c>
      <c r="H13" s="55" t="n">
        <v>1000</v>
      </c>
      <c r="I13" s="55" t="n">
        <v>1000</v>
      </c>
      <c r="J13" s="55" t="n">
        <v>1000</v>
      </c>
      <c r="K13" s="55" t="n">
        <v>1000</v>
      </c>
      <c r="L13" s="55" t="n">
        <v>1200</v>
      </c>
      <c r="M13" s="55" t="n">
        <v>1200</v>
      </c>
      <c r="N13" s="55" t="n">
        <v>1200</v>
      </c>
      <c r="O13" s="55" t="n">
        <v>1500</v>
      </c>
      <c r="P13" s="55" t="n">
        <v>1500</v>
      </c>
      <c r="Q13" s="55" t="n">
        <v>1500</v>
      </c>
      <c r="R13" s="55" t="n">
        <v>1500</v>
      </c>
      <c r="S13" s="55" t="n">
        <v>1500</v>
      </c>
      <c r="T13" s="56" t="n">
        <f aca="false">SUM(B13:S13)</f>
        <v>17800</v>
      </c>
    </row>
    <row r="14" customFormat="false" ht="15.75" hidden="false" customHeight="true" outlineLevel="0" collapsed="false">
      <c r="A14" s="100" t="s">
        <v>311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</row>
    <row r="15" customFormat="false" ht="15" hidden="false" customHeight="true" outlineLevel="0" collapsed="false">
      <c r="A15" s="41" t="s">
        <v>312</v>
      </c>
      <c r="B15" s="54" t="n">
        <v>0</v>
      </c>
      <c r="C15" s="54" t="n">
        <v>0</v>
      </c>
      <c r="D15" s="54" t="n">
        <v>0</v>
      </c>
      <c r="E15" s="54" t="n">
        <v>0</v>
      </c>
      <c r="F15" s="54" t="n">
        <v>0</v>
      </c>
      <c r="G15" s="55" t="n">
        <v>700</v>
      </c>
      <c r="H15" s="55" t="n">
        <v>700</v>
      </c>
      <c r="I15" s="55" t="n">
        <v>700</v>
      </c>
      <c r="J15" s="55" t="n">
        <v>700</v>
      </c>
      <c r="K15" s="55" t="n">
        <v>700</v>
      </c>
      <c r="L15" s="55" t="n">
        <v>900</v>
      </c>
      <c r="M15" s="55" t="n">
        <v>900</v>
      </c>
      <c r="N15" s="55" t="n">
        <v>900</v>
      </c>
      <c r="O15" s="55" t="n">
        <v>1000</v>
      </c>
      <c r="P15" s="55" t="n">
        <v>1000</v>
      </c>
      <c r="Q15" s="55" t="n">
        <v>1000</v>
      </c>
      <c r="R15" s="55" t="n">
        <v>1000</v>
      </c>
      <c r="S15" s="55" t="n">
        <v>1000</v>
      </c>
      <c r="T15" s="56" t="n">
        <f aca="false">SUM(B15:S15)</f>
        <v>11200</v>
      </c>
    </row>
    <row r="16" customFormat="false" ht="15.75" hidden="false" customHeight="true" outlineLevel="0" collapsed="false">
      <c r="A16" s="87" t="s">
        <v>313</v>
      </c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</row>
    <row r="17" customFormat="false" ht="15" hidden="false" customHeight="true" outlineLevel="0" collapsed="false">
      <c r="A17" s="88" t="s">
        <v>314</v>
      </c>
      <c r="B17" s="89" t="n">
        <v>0</v>
      </c>
      <c r="C17" s="89" t="n">
        <v>0</v>
      </c>
      <c r="D17" s="89" t="n">
        <v>0</v>
      </c>
      <c r="E17" s="89" t="n">
        <v>0</v>
      </c>
      <c r="F17" s="76" t="n">
        <v>1200</v>
      </c>
      <c r="G17" s="76" t="n">
        <v>1200</v>
      </c>
      <c r="H17" s="76" t="n">
        <v>1500</v>
      </c>
      <c r="I17" s="76" t="n">
        <v>1500</v>
      </c>
      <c r="J17" s="76" t="n">
        <v>1500</v>
      </c>
      <c r="K17" s="76" t="n">
        <v>1500</v>
      </c>
      <c r="L17" s="76" t="n">
        <v>1500</v>
      </c>
      <c r="M17" s="76" t="n">
        <v>1500</v>
      </c>
      <c r="N17" s="76" t="n">
        <v>1500</v>
      </c>
      <c r="O17" s="76" t="n">
        <v>2000</v>
      </c>
      <c r="P17" s="76" t="n">
        <v>2000</v>
      </c>
      <c r="Q17" s="76" t="n">
        <v>2000</v>
      </c>
      <c r="R17" s="76" t="n">
        <v>2000</v>
      </c>
      <c r="S17" s="76" t="n">
        <v>2000</v>
      </c>
      <c r="T17" s="76" t="n">
        <f aca="false">SUM(B17:S17)</f>
        <v>22900</v>
      </c>
    </row>
    <row r="18" customFormat="false" ht="15.75" hidden="false" customHeight="true" outlineLevel="0" collapsed="false">
      <c r="A18" s="86" t="s">
        <v>315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</row>
    <row r="19" customFormat="false" ht="15.75" hidden="false" customHeight="true" outlineLevel="0" collapsed="false">
      <c r="A19" s="100" t="s">
        <v>316</v>
      </c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</row>
    <row r="20" customFormat="false" ht="15" hidden="false" customHeight="true" outlineLevel="0" collapsed="false">
      <c r="A20" s="41" t="s">
        <v>317</v>
      </c>
      <c r="B20" s="54" t="n">
        <v>0</v>
      </c>
      <c r="C20" s="54" t="n">
        <v>0</v>
      </c>
      <c r="D20" s="54" t="n">
        <v>0</v>
      </c>
      <c r="E20" s="55" t="n">
        <v>600</v>
      </c>
      <c r="F20" s="55" t="n">
        <v>600</v>
      </c>
      <c r="G20" s="55" t="n">
        <v>600</v>
      </c>
      <c r="H20" s="55" t="n">
        <v>700</v>
      </c>
      <c r="I20" s="55" t="n">
        <v>700</v>
      </c>
      <c r="J20" s="55" t="n">
        <v>700</v>
      </c>
      <c r="K20" s="55" t="n">
        <v>700</v>
      </c>
      <c r="L20" s="55" t="n">
        <v>800</v>
      </c>
      <c r="M20" s="55" t="n">
        <v>800</v>
      </c>
      <c r="N20" s="55" t="n">
        <v>800</v>
      </c>
      <c r="O20" s="55" t="n">
        <v>1000</v>
      </c>
      <c r="P20" s="55" t="n">
        <v>1000</v>
      </c>
      <c r="Q20" s="55" t="n">
        <v>1000</v>
      </c>
      <c r="R20" s="55" t="n">
        <v>1000</v>
      </c>
      <c r="S20" s="55" t="n">
        <v>1000</v>
      </c>
      <c r="T20" s="56" t="n">
        <f aca="false">SUM(B20:S20)</f>
        <v>12000</v>
      </c>
    </row>
    <row r="21" customFormat="false" ht="4.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customFormat="false" ht="15.75" hidden="false" customHeight="true" outlineLevel="0" collapsed="false">
      <c r="A22" s="40" t="s">
        <v>318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</row>
    <row r="23" customFormat="false" ht="15" hidden="false" customHeight="true" outlineLevel="0" collapsed="false">
      <c r="A23" s="41" t="s">
        <v>319</v>
      </c>
      <c r="B23" s="101" t="n">
        <v>2</v>
      </c>
      <c r="C23" s="101" t="n">
        <v>2</v>
      </c>
      <c r="D23" s="101" t="n">
        <v>2</v>
      </c>
      <c r="E23" s="101" t="n">
        <v>4</v>
      </c>
      <c r="F23" s="101" t="n">
        <v>5</v>
      </c>
      <c r="G23" s="101" t="n">
        <v>6</v>
      </c>
      <c r="H23" s="101" t="n">
        <v>7</v>
      </c>
      <c r="I23" s="101" t="n">
        <v>7</v>
      </c>
      <c r="J23" s="101" t="n">
        <v>7</v>
      </c>
      <c r="K23" s="101" t="n">
        <v>7</v>
      </c>
      <c r="L23" s="101" t="n">
        <v>7</v>
      </c>
      <c r="M23" s="101" t="n">
        <v>7</v>
      </c>
      <c r="N23" s="101" t="n">
        <v>7</v>
      </c>
      <c r="O23" s="101" t="n">
        <v>7</v>
      </c>
      <c r="P23" s="101" t="n">
        <v>7</v>
      </c>
      <c r="Q23" s="101" t="n">
        <v>7</v>
      </c>
      <c r="R23" s="101" t="n">
        <v>7</v>
      </c>
      <c r="S23" s="101" t="n">
        <v>7</v>
      </c>
      <c r="T23" s="43" t="n">
        <f aca="false">SUM(B23:S23)</f>
        <v>105</v>
      </c>
    </row>
    <row r="24" customFormat="false" ht="15" hidden="false" customHeight="true" outlineLevel="0" collapsed="false">
      <c r="A24" s="90" t="s">
        <v>320</v>
      </c>
      <c r="B24" s="93" t="n">
        <f aca="false">IF(MASTER!B18&gt;0,B34/MASTER!B18,0)</f>
        <v>0.808500808500809</v>
      </c>
      <c r="C24" s="93" t="n">
        <f aca="false">IF(MASTER!C18&gt;0,C34/MASTER!C18,0)</f>
        <v>0.794732061762035</v>
      </c>
      <c r="D24" s="93" t="n">
        <f aca="false">IF(MASTER!D18&gt;0,D34/MASTER!D18,0)</f>
        <v>0.767543859649123</v>
      </c>
      <c r="E24" s="93" t="n">
        <f aca="false">IF(MASTER!E18&gt;0,E34/MASTER!E18,0)</f>
        <v>0.802310654685494</v>
      </c>
      <c r="F24" s="93" t="n">
        <f aca="false">IF(MASTER!F18&gt;0,F34/MASTER!F18,0)</f>
        <v>0.799896787511289</v>
      </c>
      <c r="G24" s="93" t="n">
        <f aca="false">IF(MASTER!G18&gt;0,G34/MASTER!G18,0)</f>
        <v>0.786414406200137</v>
      </c>
      <c r="H24" s="93" t="n">
        <f aca="false">IF(MASTER!H18&gt;0,H34/MASTER!H18,0)</f>
        <v>0.810344827586207</v>
      </c>
      <c r="I24" s="93" t="n">
        <f aca="false">IF(MASTER!I18&gt;0,I34/MASTER!I18,0)</f>
        <v>0.785690404546974</v>
      </c>
      <c r="J24" s="93" t="n">
        <f aca="false">IF(MASTER!J18&gt;0,J34/MASTER!J18,0)</f>
        <v>0.759841564950287</v>
      </c>
      <c r="K24" s="93" t="n">
        <f aca="false">IF(MASTER!K18&gt;0,K34/MASTER!K18,0)</f>
        <v>0.737139272271016</v>
      </c>
      <c r="L24" s="93" t="n">
        <f aca="false">IF(MASTER!L18&gt;0,L34/MASTER!L18,0)</f>
        <v>0.742822726360169</v>
      </c>
      <c r="M24" s="93" t="n">
        <f aca="false">IF(MASTER!M18&gt;0,M34/MASTER!M18,0)</f>
        <v>0.719284603421462</v>
      </c>
      <c r="N24" s="93" t="n">
        <f aca="false">IF(MASTER!N18&gt;0,N34/MASTER!N18,0)</f>
        <v>0.693186785736589</v>
      </c>
      <c r="O24" s="93" t="n">
        <f aca="false">IF(MASTER!O18&gt;0,O34/MASTER!O18,0)</f>
        <v>0.714853057982526</v>
      </c>
      <c r="P24" s="93" t="n">
        <f aca="false">IF(MASTER!P18&gt;0,P34/MASTER!P18,0)</f>
        <v>0.69494491918048</v>
      </c>
      <c r="Q24" s="93" t="n">
        <f aca="false">IF(MASTER!Q18&gt;0,Q34/MASTER!Q18,0)</f>
        <v>0.678391959798995</v>
      </c>
      <c r="R24" s="93" t="n">
        <f aca="false">IF(MASTER!R18&gt;0,R34/MASTER!R18,0)</f>
        <v>0.662186687595036</v>
      </c>
      <c r="S24" s="93" t="n">
        <f aca="false">IF(MASTER!S18&gt;0,S34/MASTER!S18,0)</f>
        <v>0.647513070171231</v>
      </c>
      <c r="T24" s="92" t="s">
        <v>285</v>
      </c>
    </row>
    <row r="25" customFormat="false" ht="4.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customFormat="false" ht="15.75" hidden="false" customHeight="true" outlineLevel="0" collapsed="false">
      <c r="A26" s="40" t="s">
        <v>321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</row>
    <row r="27" customFormat="false" ht="15.75" hidden="false" customHeight="true" outlineLevel="0" collapsed="false">
      <c r="A27" s="95" t="s">
        <v>322</v>
      </c>
      <c r="B27" s="95" t="s">
        <v>323</v>
      </c>
      <c r="C27" s="95" t="s">
        <v>324</v>
      </c>
      <c r="D27" s="95" t="s">
        <v>325</v>
      </c>
      <c r="E27" s="95" t="s">
        <v>113</v>
      </c>
      <c r="F27" s="95" t="s">
        <v>326</v>
      </c>
      <c r="G27" s="95" t="s">
        <v>327</v>
      </c>
    </row>
    <row r="28" customFormat="false" ht="15.75" hidden="false" customHeight="true" outlineLevel="0" collapsed="false">
      <c r="A28" s="102" t="s">
        <v>328</v>
      </c>
      <c r="B28" s="102" t="s">
        <v>329</v>
      </c>
      <c r="C28" s="102" t="s">
        <v>330</v>
      </c>
      <c r="D28" s="102" t="s">
        <v>331</v>
      </c>
      <c r="E28" s="102" t="s">
        <v>113</v>
      </c>
      <c r="F28" s="102" t="s">
        <v>332</v>
      </c>
      <c r="G28" s="102"/>
    </row>
    <row r="29" customFormat="false" ht="15.75" hidden="false" customHeight="true" outlineLevel="0" collapsed="false">
      <c r="A29" s="102" t="s">
        <v>333</v>
      </c>
      <c r="B29" s="102" t="s">
        <v>329</v>
      </c>
      <c r="C29" s="102" t="s">
        <v>334</v>
      </c>
      <c r="D29" s="102" t="s">
        <v>330</v>
      </c>
      <c r="E29" s="102" t="s">
        <v>119</v>
      </c>
      <c r="F29" s="102" t="s">
        <v>335</v>
      </c>
      <c r="G29" s="102"/>
    </row>
    <row r="30" customFormat="false" ht="15.75" hidden="false" customHeight="true" outlineLevel="0" collapsed="false">
      <c r="A30" s="102" t="s">
        <v>336</v>
      </c>
      <c r="B30" s="102" t="s">
        <v>337</v>
      </c>
      <c r="C30" s="102" t="s">
        <v>338</v>
      </c>
      <c r="D30" s="102" t="s">
        <v>330</v>
      </c>
      <c r="E30" s="102" t="s">
        <v>116</v>
      </c>
      <c r="F30" s="102" t="s">
        <v>339</v>
      </c>
      <c r="G30" s="102"/>
    </row>
    <row r="31" customFormat="false" ht="15.75" hidden="false" customHeight="true" outlineLevel="0" collapsed="false">
      <c r="A31" s="102" t="s">
        <v>340</v>
      </c>
      <c r="B31" s="102" t="s">
        <v>341</v>
      </c>
      <c r="C31" s="102" t="s">
        <v>342</v>
      </c>
      <c r="D31" s="102" t="s">
        <v>334</v>
      </c>
      <c r="E31" s="102" t="s">
        <v>118</v>
      </c>
      <c r="F31" s="102" t="s">
        <v>343</v>
      </c>
      <c r="G31" s="102"/>
    </row>
    <row r="32" customFormat="false" ht="15.75" hidden="false" customHeight="true" outlineLevel="0" collapsed="false">
      <c r="A32" s="95" t="s">
        <v>344</v>
      </c>
      <c r="B32" s="95" t="s">
        <v>345</v>
      </c>
      <c r="C32" s="95" t="s">
        <v>346</v>
      </c>
      <c r="D32" s="95" t="s">
        <v>324</v>
      </c>
      <c r="E32" s="95" t="s">
        <v>117</v>
      </c>
      <c r="F32" s="95" t="s">
        <v>347</v>
      </c>
      <c r="G32" s="95" t="s">
        <v>327</v>
      </c>
    </row>
    <row r="33" customFormat="false" ht="15.75" hidden="false" customHeight="true" outlineLevel="0" collapsed="false">
      <c r="A33" s="102" t="s">
        <v>348</v>
      </c>
      <c r="B33" s="102" t="s">
        <v>349</v>
      </c>
      <c r="C33" s="102" t="s">
        <v>350</v>
      </c>
      <c r="D33" s="102" t="s">
        <v>334</v>
      </c>
      <c r="E33" s="102" t="s">
        <v>116</v>
      </c>
      <c r="F33" s="102" t="s">
        <v>351</v>
      </c>
      <c r="G33" s="102"/>
    </row>
    <row r="34" customFormat="false" ht="19.5" hidden="false" customHeight="true" outlineLevel="0" collapsed="false">
      <c r="A34" s="103" t="s">
        <v>352</v>
      </c>
      <c r="B34" s="104" t="n">
        <f aca="false">B6+B9+B11+B13+B15+B17+B20</f>
        <v>3500</v>
      </c>
      <c r="C34" s="104" t="n">
        <f aca="false">C6+C9+C11+C13+C15+C17+C20</f>
        <v>3500</v>
      </c>
      <c r="D34" s="104" t="n">
        <f aca="false">D6+D9+D11+D13+D15+D17+D20</f>
        <v>3500</v>
      </c>
      <c r="E34" s="104" t="n">
        <f aca="false">E6+E9+E11+E13+E15+E17+E20</f>
        <v>5000</v>
      </c>
      <c r="F34" s="104" t="n">
        <f aca="false">F6+F9+F11+F13+F15+F17+F20</f>
        <v>6200</v>
      </c>
      <c r="G34" s="104" t="n">
        <f aca="false">G6+G9+G11+G13+G15+G17+G20</f>
        <v>6900</v>
      </c>
      <c r="H34" s="104" t="n">
        <f aca="false">H6+H9+H11+H13+H15+H17+H20</f>
        <v>9400</v>
      </c>
      <c r="I34" s="104" t="n">
        <f aca="false">I6+I9+I11+I13+I15+I17+I20</f>
        <v>9400</v>
      </c>
      <c r="J34" s="104" t="n">
        <f aca="false">J6+J9+J11+J13+J15+J17+J20</f>
        <v>9400</v>
      </c>
      <c r="K34" s="104" t="n">
        <f aca="false">K6+K9+K11+K13+K15+K17+K20</f>
        <v>9400</v>
      </c>
      <c r="L34" s="104" t="n">
        <f aca="false">L6+L9+L11+L13+L15+L17+L20</f>
        <v>11100</v>
      </c>
      <c r="M34" s="104" t="n">
        <f aca="false">M6+M9+M11+M13+M15+M17+M20</f>
        <v>11100</v>
      </c>
      <c r="N34" s="104" t="n">
        <f aca="false">N6+N9+N11+N13+N15+N17+N20</f>
        <v>11100</v>
      </c>
      <c r="O34" s="104" t="n">
        <f aca="false">O6+O9+O11+O13+O15+O17+O20</f>
        <v>13500</v>
      </c>
      <c r="P34" s="104" t="n">
        <f aca="false">P6+P9+P11+P13+P15+P17+P20</f>
        <v>13500</v>
      </c>
      <c r="Q34" s="104" t="n">
        <f aca="false">Q6+Q9+Q11+Q13+Q15+Q17+Q20</f>
        <v>13500</v>
      </c>
      <c r="R34" s="104" t="n">
        <f aca="false">R6+R9+R11+R13+R15+R17+R20</f>
        <v>13500</v>
      </c>
      <c r="S34" s="104" t="n">
        <f aca="false">S6+S9+S11+S13+S15+S17+S20</f>
        <v>13500</v>
      </c>
      <c r="T34" s="104" t="n">
        <f aca="false">SUM(B34:S34)</f>
        <v>167000</v>
      </c>
    </row>
  </sheetData>
  <mergeCells count="16">
    <mergeCell ref="A1:T1"/>
    <mergeCell ref="A2:T2"/>
    <mergeCell ref="A4:T4"/>
    <mergeCell ref="A5:T5"/>
    <mergeCell ref="A7:T7"/>
    <mergeCell ref="A8:T8"/>
    <mergeCell ref="A10:T10"/>
    <mergeCell ref="A12:T12"/>
    <mergeCell ref="A14:T14"/>
    <mergeCell ref="A16:T16"/>
    <mergeCell ref="A18:T18"/>
    <mergeCell ref="A19:T19"/>
    <mergeCell ref="A21:T21"/>
    <mergeCell ref="A22:T22"/>
    <mergeCell ref="A25:T25"/>
    <mergeCell ref="A26:T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2" t="s">
        <v>353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3.5" hidden="false" customHeight="true" outlineLevel="0" collapsed="false">
      <c r="A2" s="3" t="s">
        <v>354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5.75" hidden="false" customHeight="true" outlineLevel="0" collapsed="false">
      <c r="A4" s="38" t="s">
        <v>355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</row>
    <row r="5" customFormat="false" ht="18" hidden="false" customHeight="true" outlineLevel="0" collapsed="false">
      <c r="A5" s="6" t="s">
        <v>356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customFormat="false" ht="15" hidden="false" customHeight="true" outlineLevel="0" collapsed="false">
      <c r="A6" s="41" t="s">
        <v>357</v>
      </c>
      <c r="B6" s="55" t="n">
        <v>5400</v>
      </c>
      <c r="C6" s="55" t="n">
        <v>5400</v>
      </c>
      <c r="D6" s="55" t="n">
        <v>5400</v>
      </c>
      <c r="E6" s="55" t="n">
        <v>5400</v>
      </c>
      <c r="F6" s="55" t="n">
        <v>5400</v>
      </c>
      <c r="G6" s="55" t="n">
        <v>5400</v>
      </c>
      <c r="H6" s="55" t="n">
        <v>5400</v>
      </c>
      <c r="I6" s="55" t="n">
        <v>5400</v>
      </c>
      <c r="J6" s="55" t="n">
        <v>5400</v>
      </c>
      <c r="K6" s="55" t="n">
        <v>5400</v>
      </c>
      <c r="L6" s="55" t="n">
        <v>5400</v>
      </c>
      <c r="M6" s="55" t="n">
        <v>5400</v>
      </c>
      <c r="N6" s="55" t="n">
        <v>5400</v>
      </c>
      <c r="O6" s="55" t="n">
        <v>5400</v>
      </c>
      <c r="P6" s="55" t="n">
        <v>5400</v>
      </c>
      <c r="Q6" s="55" t="n">
        <v>5400</v>
      </c>
      <c r="R6" s="55" t="n">
        <v>5400</v>
      </c>
      <c r="S6" s="55" t="n">
        <v>5400</v>
      </c>
      <c r="T6" s="56" t="n">
        <f aca="false">SUM(B6:S6)</f>
        <v>97200</v>
      </c>
    </row>
    <row r="7" customFormat="false" ht="15" hidden="false" customHeight="true" outlineLevel="0" collapsed="false">
      <c r="A7" s="41" t="s">
        <v>358</v>
      </c>
      <c r="B7" s="42" t="n">
        <v>36</v>
      </c>
      <c r="C7" s="42" t="n">
        <v>36</v>
      </c>
      <c r="D7" s="42" t="n">
        <v>36</v>
      </c>
      <c r="E7" s="42" t="n">
        <v>36</v>
      </c>
      <c r="F7" s="42" t="n">
        <v>36</v>
      </c>
      <c r="G7" s="42" t="n">
        <v>36</v>
      </c>
      <c r="H7" s="42" t="n">
        <v>36</v>
      </c>
      <c r="I7" s="42" t="n">
        <v>36</v>
      </c>
      <c r="J7" s="42" t="n">
        <v>36</v>
      </c>
      <c r="K7" s="42" t="n">
        <v>36</v>
      </c>
      <c r="L7" s="42" t="n">
        <v>36</v>
      </c>
      <c r="M7" s="42" t="n">
        <v>36</v>
      </c>
      <c r="N7" s="42" t="n">
        <v>36</v>
      </c>
      <c r="O7" s="42" t="n">
        <v>36</v>
      </c>
      <c r="P7" s="42" t="n">
        <v>36</v>
      </c>
      <c r="Q7" s="42" t="n">
        <v>36</v>
      </c>
      <c r="R7" s="42" t="n">
        <v>36</v>
      </c>
      <c r="S7" s="42" t="n">
        <v>36</v>
      </c>
      <c r="T7" s="43" t="n">
        <f aca="false">SUM(B7:S7)</f>
        <v>648</v>
      </c>
    </row>
    <row r="8" customFormat="false" ht="15" hidden="false" customHeight="true" outlineLevel="0" collapsed="false">
      <c r="A8" s="41" t="s">
        <v>359</v>
      </c>
      <c r="B8" s="55" t="n">
        <v>150</v>
      </c>
      <c r="C8" s="55" t="n">
        <v>150</v>
      </c>
      <c r="D8" s="55" t="n">
        <v>150</v>
      </c>
      <c r="E8" s="55" t="n">
        <v>150</v>
      </c>
      <c r="F8" s="55" t="n">
        <v>150</v>
      </c>
      <c r="G8" s="55" t="n">
        <v>150</v>
      </c>
      <c r="H8" s="55" t="n">
        <v>150</v>
      </c>
      <c r="I8" s="55" t="n">
        <v>150</v>
      </c>
      <c r="J8" s="55" t="n">
        <v>150</v>
      </c>
      <c r="K8" s="55" t="n">
        <v>150</v>
      </c>
      <c r="L8" s="55" t="n">
        <v>150</v>
      </c>
      <c r="M8" s="55" t="n">
        <v>150</v>
      </c>
      <c r="N8" s="55" t="n">
        <v>150</v>
      </c>
      <c r="O8" s="55" t="n">
        <v>150</v>
      </c>
      <c r="P8" s="55" t="n">
        <v>150</v>
      </c>
      <c r="Q8" s="55" t="n">
        <v>150</v>
      </c>
      <c r="R8" s="55" t="n">
        <v>150</v>
      </c>
      <c r="S8" s="55" t="n">
        <v>150</v>
      </c>
      <c r="T8" s="56" t="n">
        <f aca="false">SUM(B8:S8)</f>
        <v>2700</v>
      </c>
    </row>
    <row r="9" customFormat="false" ht="4.5" hidden="false" customHeight="tru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customFormat="false" ht="18" hidden="false" customHeight="true" outlineLevel="0" collapsed="false">
      <c r="A10" s="6" t="s">
        <v>360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customFormat="false" ht="15" hidden="false" customHeight="true" outlineLevel="0" collapsed="false">
      <c r="A11" s="41" t="s">
        <v>361</v>
      </c>
      <c r="B11" s="55" t="n">
        <v>1800</v>
      </c>
      <c r="C11" s="55" t="n">
        <v>1800</v>
      </c>
      <c r="D11" s="55" t="n">
        <v>1800</v>
      </c>
      <c r="E11" s="55" t="n">
        <v>1800</v>
      </c>
      <c r="F11" s="55" t="n">
        <v>1800</v>
      </c>
      <c r="G11" s="55" t="n">
        <v>1800</v>
      </c>
      <c r="H11" s="55" t="n">
        <v>1800</v>
      </c>
      <c r="I11" s="55" t="n">
        <v>1800</v>
      </c>
      <c r="J11" s="55" t="n">
        <v>1800</v>
      </c>
      <c r="K11" s="55" t="n">
        <v>1800</v>
      </c>
      <c r="L11" s="55" t="n">
        <v>1800</v>
      </c>
      <c r="M11" s="55" t="n">
        <v>1800</v>
      </c>
      <c r="N11" s="55" t="n">
        <v>1800</v>
      </c>
      <c r="O11" s="55" t="n">
        <v>1800</v>
      </c>
      <c r="P11" s="55" t="n">
        <v>1800</v>
      </c>
      <c r="Q11" s="55" t="n">
        <v>1800</v>
      </c>
      <c r="R11" s="55" t="n">
        <v>1800</v>
      </c>
      <c r="S11" s="55" t="n">
        <v>1800</v>
      </c>
      <c r="T11" s="56" t="n">
        <f aca="false">SUM(B11:S11)</f>
        <v>32400</v>
      </c>
    </row>
    <row r="12" customFormat="false" ht="15" hidden="false" customHeight="true" outlineLevel="0" collapsed="false">
      <c r="A12" s="41" t="s">
        <v>362</v>
      </c>
      <c r="B12" s="42" t="n">
        <v>36</v>
      </c>
      <c r="C12" s="42" t="n">
        <v>36</v>
      </c>
      <c r="D12" s="42" t="n">
        <v>36</v>
      </c>
      <c r="E12" s="42" t="n">
        <v>36</v>
      </c>
      <c r="F12" s="42" t="n">
        <v>36</v>
      </c>
      <c r="G12" s="42" t="n">
        <v>36</v>
      </c>
      <c r="H12" s="42" t="n">
        <v>36</v>
      </c>
      <c r="I12" s="42" t="n">
        <v>36</v>
      </c>
      <c r="J12" s="42" t="n">
        <v>36</v>
      </c>
      <c r="K12" s="42" t="n">
        <v>36</v>
      </c>
      <c r="L12" s="42" t="n">
        <v>36</v>
      </c>
      <c r="M12" s="42" t="n">
        <v>36</v>
      </c>
      <c r="N12" s="42" t="n">
        <v>36</v>
      </c>
      <c r="O12" s="42" t="n">
        <v>36</v>
      </c>
      <c r="P12" s="42" t="n">
        <v>36</v>
      </c>
      <c r="Q12" s="42" t="n">
        <v>36</v>
      </c>
      <c r="R12" s="42" t="n">
        <v>36</v>
      </c>
      <c r="S12" s="42" t="n">
        <v>36</v>
      </c>
      <c r="T12" s="43" t="n">
        <f aca="false">SUM(B12:S12)</f>
        <v>648</v>
      </c>
    </row>
    <row r="13" customFormat="false" ht="15" hidden="false" customHeight="true" outlineLevel="0" collapsed="false">
      <c r="A13" s="41" t="s">
        <v>363</v>
      </c>
      <c r="B13" s="55" t="n">
        <v>50</v>
      </c>
      <c r="C13" s="55" t="n">
        <v>50</v>
      </c>
      <c r="D13" s="55" t="n">
        <v>50</v>
      </c>
      <c r="E13" s="55" t="n">
        <v>50</v>
      </c>
      <c r="F13" s="55" t="n">
        <v>50</v>
      </c>
      <c r="G13" s="55" t="n">
        <v>50</v>
      </c>
      <c r="H13" s="55" t="n">
        <v>50</v>
      </c>
      <c r="I13" s="55" t="n">
        <v>50</v>
      </c>
      <c r="J13" s="55" t="n">
        <v>50</v>
      </c>
      <c r="K13" s="55" t="n">
        <v>50</v>
      </c>
      <c r="L13" s="55" t="n">
        <v>50</v>
      </c>
      <c r="M13" s="55" t="n">
        <v>50</v>
      </c>
      <c r="N13" s="55" t="n">
        <v>50</v>
      </c>
      <c r="O13" s="55" t="n">
        <v>50</v>
      </c>
      <c r="P13" s="55" t="n">
        <v>50</v>
      </c>
      <c r="Q13" s="55" t="n">
        <v>50</v>
      </c>
      <c r="R13" s="55" t="n">
        <v>50</v>
      </c>
      <c r="S13" s="55" t="n">
        <v>50</v>
      </c>
      <c r="T13" s="56" t="n">
        <f aca="false">SUM(B13:S13)</f>
        <v>900</v>
      </c>
    </row>
    <row r="14" customFormat="false" ht="19.5" hidden="false" customHeight="true" outlineLevel="0" collapsed="false">
      <c r="A14" s="45" t="s">
        <v>364</v>
      </c>
      <c r="B14" s="46" t="n">
        <f aca="false">B8+B13</f>
        <v>200</v>
      </c>
      <c r="C14" s="46" t="n">
        <f aca="false">C8+C13</f>
        <v>200</v>
      </c>
      <c r="D14" s="46" t="n">
        <f aca="false">D8+D13</f>
        <v>200</v>
      </c>
      <c r="E14" s="46" t="n">
        <f aca="false">E8+E13</f>
        <v>200</v>
      </c>
      <c r="F14" s="46" t="n">
        <f aca="false">F8+F13</f>
        <v>200</v>
      </c>
      <c r="G14" s="46" t="n">
        <f aca="false">G8+G13</f>
        <v>200</v>
      </c>
      <c r="H14" s="46" t="n">
        <f aca="false">H8+H13</f>
        <v>200</v>
      </c>
      <c r="I14" s="46" t="n">
        <f aca="false">I8+I13</f>
        <v>200</v>
      </c>
      <c r="J14" s="46" t="n">
        <f aca="false">J8+J13</f>
        <v>200</v>
      </c>
      <c r="K14" s="46" t="n">
        <f aca="false">K8+K13</f>
        <v>200</v>
      </c>
      <c r="L14" s="46" t="n">
        <f aca="false">L8+L13</f>
        <v>200</v>
      </c>
      <c r="M14" s="46" t="n">
        <f aca="false">M8+M13</f>
        <v>200</v>
      </c>
      <c r="N14" s="46" t="n">
        <f aca="false">N8+N13</f>
        <v>200</v>
      </c>
      <c r="O14" s="46" t="n">
        <f aca="false">O8+O13</f>
        <v>200</v>
      </c>
      <c r="P14" s="46" t="n">
        <f aca="false">P8+P13</f>
        <v>200</v>
      </c>
      <c r="Q14" s="46" t="n">
        <f aca="false">Q8+Q13</f>
        <v>200</v>
      </c>
      <c r="R14" s="46" t="n">
        <f aca="false">R8+R13</f>
        <v>200</v>
      </c>
      <c r="S14" s="46" t="n">
        <f aca="false">S8+S13</f>
        <v>200</v>
      </c>
      <c r="T14" s="46" t="n">
        <f aca="false">SUM(B14:S14)</f>
        <v>3600</v>
      </c>
    </row>
    <row r="15" customFormat="false" ht="15.75" hidden="false" customHeight="true" outlineLevel="0" collapsed="false">
      <c r="A15" s="38" t="s">
        <v>365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</row>
  </sheetData>
  <mergeCells count="7">
    <mergeCell ref="A1:T1"/>
    <mergeCell ref="A2:T2"/>
    <mergeCell ref="A4:T4"/>
    <mergeCell ref="A5:T5"/>
    <mergeCell ref="A9:T9"/>
    <mergeCell ref="A10:T10"/>
    <mergeCell ref="A15:T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105" t="s">
        <v>366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customFormat="false" ht="13.5" hidden="false" customHeight="true" outlineLevel="0" collapsed="false">
      <c r="A2" s="3" t="s">
        <v>367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5.75" hidden="false" customHeight="true" outlineLevel="0" collapsed="false">
      <c r="A4" s="106" t="s">
        <v>368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</row>
    <row r="5" customFormat="false" ht="15.75" hidden="false" customHeight="true" outlineLevel="0" collapsed="false">
      <c r="A5" s="107" t="s">
        <v>369</v>
      </c>
      <c r="B5" s="107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</row>
    <row r="6" customFormat="false" ht="15" hidden="false" customHeight="true" outlineLevel="0" collapsed="false">
      <c r="A6" s="41" t="s">
        <v>370</v>
      </c>
      <c r="B6" s="42" t="n">
        <v>200</v>
      </c>
      <c r="C6" s="42" t="n">
        <v>350</v>
      </c>
      <c r="D6" s="42" t="n">
        <v>650</v>
      </c>
      <c r="E6" s="42" t="n">
        <v>950</v>
      </c>
      <c r="F6" s="42" t="n">
        <v>1300</v>
      </c>
      <c r="G6" s="42" t="n">
        <v>1700</v>
      </c>
      <c r="H6" s="42" t="n">
        <v>2100</v>
      </c>
      <c r="I6" s="42" t="n">
        <v>2550</v>
      </c>
      <c r="J6" s="42" t="n">
        <v>3000</v>
      </c>
      <c r="K6" s="42" t="n">
        <v>3450</v>
      </c>
      <c r="L6" s="42" t="n">
        <v>4000</v>
      </c>
      <c r="M6" s="42" t="n">
        <v>4550</v>
      </c>
      <c r="N6" s="42" t="n">
        <v>5100</v>
      </c>
      <c r="O6" s="42" t="n">
        <v>5550</v>
      </c>
      <c r="P6" s="42" t="n">
        <v>6050</v>
      </c>
      <c r="Q6" s="42" t="n">
        <v>6550</v>
      </c>
      <c r="R6" s="42" t="n">
        <v>6950</v>
      </c>
      <c r="S6" s="42" t="n">
        <v>7400</v>
      </c>
      <c r="T6" s="43" t="n">
        <f aca="false">SUM(B6:S6)</f>
        <v>62400</v>
      </c>
    </row>
    <row r="7" customFormat="false" ht="15" hidden="false" customHeight="true" outlineLevel="0" collapsed="false">
      <c r="A7" s="41" t="s">
        <v>371</v>
      </c>
      <c r="B7" s="108" t="n">
        <v>0.36</v>
      </c>
      <c r="C7" s="108" t="n">
        <v>0.36</v>
      </c>
      <c r="D7" s="108" t="n">
        <v>0.36</v>
      </c>
      <c r="E7" s="108" t="n">
        <v>0.36</v>
      </c>
      <c r="F7" s="108" t="n">
        <v>0.36</v>
      </c>
      <c r="G7" s="108" t="n">
        <v>0.36</v>
      </c>
      <c r="H7" s="108" t="n">
        <v>0.36</v>
      </c>
      <c r="I7" s="108" t="n">
        <v>0.36</v>
      </c>
      <c r="J7" s="108" t="n">
        <v>0.36</v>
      </c>
      <c r="K7" s="108" t="n">
        <v>0.36</v>
      </c>
      <c r="L7" s="108" t="n">
        <v>0.36</v>
      </c>
      <c r="M7" s="108" t="n">
        <v>0.36</v>
      </c>
      <c r="N7" s="108" t="n">
        <v>0.36</v>
      </c>
      <c r="O7" s="108" t="n">
        <v>0.36</v>
      </c>
      <c r="P7" s="108" t="n">
        <v>0.36</v>
      </c>
      <c r="Q7" s="108" t="n">
        <v>0.36</v>
      </c>
      <c r="R7" s="108" t="n">
        <v>0.36</v>
      </c>
      <c r="S7" s="108" t="n">
        <v>0.36</v>
      </c>
      <c r="T7" s="109" t="n">
        <f aca="false">SUM(B7:S7)</f>
        <v>6.48</v>
      </c>
    </row>
    <row r="8" customFormat="false" ht="4.5" hidden="false" customHeight="tru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</row>
    <row r="9" customFormat="false" ht="15.75" hidden="false" customHeight="true" outlineLevel="0" collapsed="false">
      <c r="A9" s="107" t="s">
        <v>372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</row>
    <row r="10" customFormat="false" ht="15" hidden="false" customHeight="true" outlineLevel="0" collapsed="false">
      <c r="A10" s="41" t="s">
        <v>373</v>
      </c>
      <c r="B10" s="55" t="n">
        <v>30</v>
      </c>
      <c r="C10" s="55" t="n">
        <v>55</v>
      </c>
      <c r="D10" s="55" t="n">
        <v>90</v>
      </c>
      <c r="E10" s="55" t="n">
        <v>140</v>
      </c>
      <c r="F10" s="55" t="n">
        <v>200</v>
      </c>
      <c r="G10" s="55" t="n">
        <v>270</v>
      </c>
      <c r="H10" s="55" t="n">
        <v>345</v>
      </c>
      <c r="I10" s="55" t="n">
        <v>430</v>
      </c>
      <c r="J10" s="55" t="n">
        <v>520</v>
      </c>
      <c r="K10" s="55" t="n">
        <v>605</v>
      </c>
      <c r="L10" s="55" t="n">
        <v>700</v>
      </c>
      <c r="M10" s="55" t="n">
        <v>810</v>
      </c>
      <c r="N10" s="55" t="n">
        <v>930</v>
      </c>
      <c r="O10" s="55" t="n">
        <v>1040</v>
      </c>
      <c r="P10" s="55" t="n">
        <v>1160</v>
      </c>
      <c r="Q10" s="55" t="n">
        <v>1270</v>
      </c>
      <c r="R10" s="55" t="n">
        <v>1380</v>
      </c>
      <c r="S10" s="55" t="n">
        <v>1490</v>
      </c>
      <c r="T10" s="56" t="n">
        <f aca="false">SUM(B10:S10)</f>
        <v>11465</v>
      </c>
    </row>
    <row r="11" customFormat="false" ht="15" hidden="false" customHeight="true" outlineLevel="0" collapsed="false">
      <c r="A11" s="41" t="s">
        <v>374</v>
      </c>
      <c r="B11" s="55" t="n">
        <v>12</v>
      </c>
      <c r="C11" s="55" t="n">
        <v>22</v>
      </c>
      <c r="D11" s="55" t="n">
        <v>38</v>
      </c>
      <c r="E11" s="55" t="n">
        <v>58</v>
      </c>
      <c r="F11" s="55" t="n">
        <v>84</v>
      </c>
      <c r="G11" s="55" t="n">
        <v>114</v>
      </c>
      <c r="H11" s="55" t="n">
        <v>148</v>
      </c>
      <c r="I11" s="55" t="n">
        <v>184</v>
      </c>
      <c r="J11" s="55" t="n">
        <v>224</v>
      </c>
      <c r="K11" s="55" t="n">
        <v>262</v>
      </c>
      <c r="L11" s="55" t="n">
        <v>304</v>
      </c>
      <c r="M11" s="55" t="n">
        <v>354</v>
      </c>
      <c r="N11" s="55" t="n">
        <v>406</v>
      </c>
      <c r="O11" s="55" t="n">
        <v>454</v>
      </c>
      <c r="P11" s="55" t="n">
        <v>506</v>
      </c>
      <c r="Q11" s="55" t="n">
        <v>556</v>
      </c>
      <c r="R11" s="55" t="n">
        <v>604</v>
      </c>
      <c r="S11" s="55" t="n">
        <v>652</v>
      </c>
      <c r="T11" s="56" t="n">
        <f aca="false">SUM(B11:S11)</f>
        <v>4982</v>
      </c>
    </row>
    <row r="12" customFormat="false" ht="4.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customFormat="false" ht="15.75" hidden="false" customHeight="true" outlineLevel="0" collapsed="false">
      <c r="A13" s="40" t="s">
        <v>375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</row>
    <row r="14" customFormat="false" ht="15" hidden="false" customHeight="true" outlineLevel="0" collapsed="false">
      <c r="A14" s="90" t="s">
        <v>376</v>
      </c>
      <c r="B14" s="110" t="n">
        <f aca="false">IF(B6&gt;0,(B10+B11)/B6,0)</f>
        <v>0.21</v>
      </c>
      <c r="C14" s="110" t="n">
        <f aca="false">IF(C6&gt;0,(C10+C11)/C6,0)</f>
        <v>0.22</v>
      </c>
      <c r="D14" s="110" t="n">
        <f aca="false">IF(D6&gt;0,(D10+D11)/D6,0)</f>
        <v>0.196923076923077</v>
      </c>
      <c r="E14" s="110" t="n">
        <f aca="false">IF(E6&gt;0,(E10+E11)/E6,0)</f>
        <v>0.208421052631579</v>
      </c>
      <c r="F14" s="110" t="n">
        <f aca="false">IF(F6&gt;0,(F10+F11)/F6,0)</f>
        <v>0.218461538461538</v>
      </c>
      <c r="G14" s="110" t="n">
        <f aca="false">IF(G6&gt;0,(G10+G11)/G6,0)</f>
        <v>0.225882352941176</v>
      </c>
      <c r="H14" s="110" t="n">
        <f aca="false">IF(H6&gt;0,(H10+H11)/H6,0)</f>
        <v>0.234761904761905</v>
      </c>
      <c r="I14" s="110" t="n">
        <f aca="false">IF(I6&gt;0,(I10+I11)/I6,0)</f>
        <v>0.24078431372549</v>
      </c>
      <c r="J14" s="110" t="n">
        <f aca="false">IF(J6&gt;0,(J10+J11)/J6,0)</f>
        <v>0.248</v>
      </c>
      <c r="K14" s="110" t="n">
        <f aca="false">IF(K6&gt;0,(K10+K11)/K6,0)</f>
        <v>0.251304347826087</v>
      </c>
      <c r="L14" s="110" t="n">
        <f aca="false">IF(L6&gt;0,(L10+L11)/L6,0)</f>
        <v>0.251</v>
      </c>
      <c r="M14" s="110" t="n">
        <f aca="false">IF(M6&gt;0,(M10+M11)/M6,0)</f>
        <v>0.255824175824176</v>
      </c>
      <c r="N14" s="110" t="n">
        <f aca="false">IF(N6&gt;0,(N10+N11)/N6,0)</f>
        <v>0.261960784313726</v>
      </c>
      <c r="O14" s="110" t="n">
        <f aca="false">IF(O6&gt;0,(O10+O11)/O6,0)</f>
        <v>0.269189189189189</v>
      </c>
      <c r="P14" s="110" t="n">
        <f aca="false">IF(P6&gt;0,(P10+P11)/P6,0)</f>
        <v>0.275371900826446</v>
      </c>
      <c r="Q14" s="110" t="n">
        <f aca="false">IF(Q6&gt;0,(Q10+Q11)/Q6,0)</f>
        <v>0.278778625954199</v>
      </c>
      <c r="R14" s="110" t="n">
        <f aca="false">IF(R6&gt;0,(R10+R11)/R6,0)</f>
        <v>0.285467625899281</v>
      </c>
      <c r="S14" s="110" t="n">
        <f aca="false">IF(S6&gt;0,(S10+S11)/S6,0)</f>
        <v>0.289459459459459</v>
      </c>
      <c r="T14" s="92" t="s">
        <v>377</v>
      </c>
    </row>
    <row r="15" customFormat="false" ht="3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customFormat="false" ht="19.5" hidden="false" customHeight="true" outlineLevel="0" collapsed="false">
      <c r="A16" s="79" t="s">
        <v>378</v>
      </c>
      <c r="B16" s="80" t="n">
        <f aca="false">B10+B11</f>
        <v>42</v>
      </c>
      <c r="C16" s="80" t="n">
        <f aca="false">C10+C11</f>
        <v>77</v>
      </c>
      <c r="D16" s="80" t="n">
        <f aca="false">D10+D11</f>
        <v>128</v>
      </c>
      <c r="E16" s="80" t="n">
        <f aca="false">E10+E11</f>
        <v>198</v>
      </c>
      <c r="F16" s="80" t="n">
        <f aca="false">F10+F11</f>
        <v>284</v>
      </c>
      <c r="G16" s="80" t="n">
        <f aca="false">G10+G11</f>
        <v>384</v>
      </c>
      <c r="H16" s="80" t="n">
        <f aca="false">H10+H11</f>
        <v>493</v>
      </c>
      <c r="I16" s="80" t="n">
        <f aca="false">I10+I11</f>
        <v>614</v>
      </c>
      <c r="J16" s="80" t="n">
        <f aca="false">J10+J11</f>
        <v>744</v>
      </c>
      <c r="K16" s="80" t="n">
        <f aca="false">K10+K11</f>
        <v>867</v>
      </c>
      <c r="L16" s="80" t="n">
        <f aca="false">L10+L11</f>
        <v>1004</v>
      </c>
      <c r="M16" s="80" t="n">
        <f aca="false">M10+M11</f>
        <v>1164</v>
      </c>
      <c r="N16" s="80" t="n">
        <f aca="false">N10+N11</f>
        <v>1336</v>
      </c>
      <c r="O16" s="80" t="n">
        <f aca="false">O10+O11</f>
        <v>1494</v>
      </c>
      <c r="P16" s="80" t="n">
        <f aca="false">P10+P11</f>
        <v>1666</v>
      </c>
      <c r="Q16" s="80" t="n">
        <f aca="false">Q10+Q11</f>
        <v>1826</v>
      </c>
      <c r="R16" s="80" t="n">
        <f aca="false">R10+R11</f>
        <v>1984</v>
      </c>
      <c r="S16" s="80" t="n">
        <f aca="false">S10+S11</f>
        <v>2142</v>
      </c>
      <c r="T16" s="80" t="n">
        <f aca="false">SUM(B16:S16)</f>
        <v>16447</v>
      </c>
    </row>
  </sheetData>
  <mergeCells count="9">
    <mergeCell ref="A1:T1"/>
    <mergeCell ref="A2:T2"/>
    <mergeCell ref="A4:T4"/>
    <mergeCell ref="A5:T5"/>
    <mergeCell ref="A8:T8"/>
    <mergeCell ref="A9:T9"/>
    <mergeCell ref="A12:T12"/>
    <mergeCell ref="A13:T13"/>
    <mergeCell ref="A15:T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2" t="s">
        <v>379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3.5" hidden="false" customHeight="true" outlineLevel="0" collapsed="false">
      <c r="A2" s="3" t="s">
        <v>380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8" hidden="false" customHeight="true" outlineLevel="0" collapsed="false">
      <c r="A4" s="6" t="s">
        <v>381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customFormat="false" ht="15" hidden="false" customHeight="true" outlineLevel="0" collapsed="false">
      <c r="A5" s="41" t="s">
        <v>382</v>
      </c>
      <c r="B5" s="54" t="n">
        <v>0</v>
      </c>
      <c r="C5" s="54" t="n">
        <v>0</v>
      </c>
      <c r="D5" s="55" t="n">
        <v>75000</v>
      </c>
      <c r="E5" s="54" t="n">
        <v>0</v>
      </c>
      <c r="F5" s="54" t="n">
        <v>0</v>
      </c>
      <c r="G5" s="54" t="n">
        <v>0</v>
      </c>
      <c r="H5" s="54" t="n">
        <v>0</v>
      </c>
      <c r="I5" s="54" t="n">
        <v>0</v>
      </c>
      <c r="J5" s="54" t="n">
        <v>0</v>
      </c>
      <c r="K5" s="54" t="n">
        <v>0</v>
      </c>
      <c r="L5" s="54" t="n">
        <v>0</v>
      </c>
      <c r="M5" s="54" t="n">
        <v>0</v>
      </c>
      <c r="N5" s="54" t="n">
        <v>0</v>
      </c>
      <c r="O5" s="54" t="n">
        <v>0</v>
      </c>
      <c r="P5" s="54" t="n">
        <v>0</v>
      </c>
      <c r="Q5" s="54" t="n">
        <v>0</v>
      </c>
      <c r="R5" s="54" t="n">
        <v>0</v>
      </c>
      <c r="S5" s="54" t="n">
        <v>0</v>
      </c>
      <c r="T5" s="56" t="n">
        <f aca="false">SUM(B5:S5)</f>
        <v>75000</v>
      </c>
    </row>
    <row r="6" customFormat="false" ht="15" hidden="false" customHeight="true" outlineLevel="0" collapsed="false">
      <c r="A6" s="41" t="s">
        <v>383</v>
      </c>
      <c r="B6" s="111" t="n">
        <v>0</v>
      </c>
      <c r="C6" s="111" t="n">
        <v>0</v>
      </c>
      <c r="D6" s="111" t="n">
        <v>0</v>
      </c>
      <c r="E6" s="47" t="n">
        <v>2.5</v>
      </c>
      <c r="F6" s="47" t="n">
        <v>2.5</v>
      </c>
      <c r="G6" s="47" t="n">
        <v>2.5</v>
      </c>
      <c r="H6" s="47" t="n">
        <v>2.5</v>
      </c>
      <c r="I6" s="47" t="n">
        <v>2.5</v>
      </c>
      <c r="J6" s="47" t="n">
        <v>2.5</v>
      </c>
      <c r="K6" s="47" t="n">
        <v>2.5</v>
      </c>
      <c r="L6" s="47" t="n">
        <v>2.5</v>
      </c>
      <c r="M6" s="47" t="n">
        <v>2.5</v>
      </c>
      <c r="N6" s="47" t="n">
        <v>2.5</v>
      </c>
      <c r="O6" s="47" t="n">
        <v>2.5</v>
      </c>
      <c r="P6" s="47" t="n">
        <v>2.5</v>
      </c>
      <c r="Q6" s="47" t="n">
        <v>2.5</v>
      </c>
      <c r="R6" s="47" t="n">
        <v>2.5</v>
      </c>
      <c r="S6" s="47" t="n">
        <v>2.5</v>
      </c>
      <c r="T6" s="48" t="n">
        <f aca="false">SUM(B6:S6)</f>
        <v>37.5</v>
      </c>
    </row>
    <row r="7" customFormat="false" ht="15" hidden="false" customHeight="true" outlineLevel="0" collapsed="false">
      <c r="A7" s="41" t="s">
        <v>384</v>
      </c>
      <c r="B7" s="54" t="n">
        <v>0</v>
      </c>
      <c r="C7" s="54" t="n">
        <v>0</v>
      </c>
      <c r="D7" s="55" t="n">
        <v>75000</v>
      </c>
      <c r="E7" s="55" t="n">
        <v>70910</v>
      </c>
      <c r="F7" s="55" t="n">
        <v>66902</v>
      </c>
      <c r="G7" s="55" t="n">
        <v>63261</v>
      </c>
      <c r="H7" s="55" t="n">
        <v>58671</v>
      </c>
      <c r="I7" s="55" t="n">
        <v>53284</v>
      </c>
      <c r="J7" s="55" t="n">
        <v>47734</v>
      </c>
      <c r="K7" s="55" t="n">
        <v>40229</v>
      </c>
      <c r="L7" s="55" t="n">
        <v>33389</v>
      </c>
      <c r="M7" s="55" t="n">
        <v>27072</v>
      </c>
      <c r="N7" s="55" t="n">
        <v>21423</v>
      </c>
      <c r="O7" s="55" t="n">
        <v>14811</v>
      </c>
      <c r="P7" s="55" t="n">
        <v>9037</v>
      </c>
      <c r="Q7" s="55" t="n">
        <v>4109</v>
      </c>
      <c r="R7" s="54" t="n">
        <v>0</v>
      </c>
      <c r="S7" s="54" t="n">
        <v>0</v>
      </c>
      <c r="T7" s="56" t="n">
        <f aca="false">SUM(B7:S7)</f>
        <v>585832</v>
      </c>
    </row>
    <row r="8" customFormat="false" ht="15" hidden="false" customHeight="true" outlineLevel="0" collapsed="false">
      <c r="A8" s="41" t="s">
        <v>385</v>
      </c>
      <c r="B8" s="54" t="n">
        <v>0</v>
      </c>
      <c r="C8" s="54" t="n">
        <v>0</v>
      </c>
      <c r="D8" s="54" t="n">
        <v>0</v>
      </c>
      <c r="E8" s="55" t="n">
        <v>50</v>
      </c>
      <c r="F8" s="55" t="n">
        <v>50</v>
      </c>
      <c r="G8" s="55" t="n">
        <v>50</v>
      </c>
      <c r="H8" s="55" t="n">
        <v>80</v>
      </c>
      <c r="I8" s="55" t="n">
        <v>80</v>
      </c>
      <c r="J8" s="55" t="n">
        <v>80</v>
      </c>
      <c r="K8" s="55" t="n">
        <v>80</v>
      </c>
      <c r="L8" s="55" t="n">
        <v>100</v>
      </c>
      <c r="M8" s="55" t="n">
        <v>100</v>
      </c>
      <c r="N8" s="55" t="n">
        <v>120</v>
      </c>
      <c r="O8" s="55" t="n">
        <v>120</v>
      </c>
      <c r="P8" s="55" t="n">
        <v>120</v>
      </c>
      <c r="Q8" s="55" t="n">
        <v>120</v>
      </c>
      <c r="R8" s="55" t="n">
        <v>150</v>
      </c>
      <c r="S8" s="55" t="n">
        <v>150</v>
      </c>
      <c r="T8" s="56" t="n">
        <f aca="false">SUM(B8:S8)</f>
        <v>1450</v>
      </c>
    </row>
    <row r="9" customFormat="false" ht="18" hidden="false" customHeight="true" outlineLevel="0" collapsed="false">
      <c r="A9" s="6" t="s">
        <v>386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customFormat="false" ht="15" hidden="false" customHeight="true" outlineLevel="0" collapsed="false">
      <c r="A10" s="41" t="s">
        <v>387</v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0</v>
      </c>
      <c r="H10" s="54" t="n">
        <v>0</v>
      </c>
      <c r="I10" s="54" t="n">
        <v>0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54" t="n">
        <v>0</v>
      </c>
      <c r="Q10" s="54" t="n">
        <v>0</v>
      </c>
      <c r="R10" s="54" t="n">
        <v>0</v>
      </c>
      <c r="S10" s="54" t="n">
        <v>0</v>
      </c>
      <c r="T10" s="56" t="n">
        <f aca="false">SUM(B10:S10)</f>
        <v>0</v>
      </c>
    </row>
    <row r="11" customFormat="false" ht="15.75" hidden="false" customHeight="true" outlineLevel="0" collapsed="false">
      <c r="A11" s="38" t="s">
        <v>388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</row>
    <row r="12" customFormat="false" ht="15.75" hidden="false" customHeight="true" outlineLevel="0" collapsed="false">
      <c r="A12" s="40" t="s">
        <v>389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</row>
    <row r="13" customFormat="false" ht="15" hidden="false" customHeight="true" outlineLevel="0" collapsed="false">
      <c r="A13" s="41" t="s">
        <v>390</v>
      </c>
      <c r="B13" s="55" t="n">
        <v>4090</v>
      </c>
      <c r="C13" s="55" t="n">
        <v>4008</v>
      </c>
      <c r="D13" s="55" t="n">
        <v>3641</v>
      </c>
      <c r="E13" s="55" t="n">
        <v>4590</v>
      </c>
      <c r="F13" s="55" t="n">
        <v>5387</v>
      </c>
      <c r="G13" s="55" t="n">
        <v>5550</v>
      </c>
      <c r="H13" s="55" t="n">
        <v>7505</v>
      </c>
      <c r="I13" s="55" t="n">
        <v>6840</v>
      </c>
      <c r="J13" s="55" t="n">
        <v>6317</v>
      </c>
      <c r="K13" s="55" t="n">
        <v>5649</v>
      </c>
      <c r="L13" s="55" t="n">
        <v>6612</v>
      </c>
      <c r="M13" s="55" t="n">
        <v>5774</v>
      </c>
      <c r="N13" s="55" t="n">
        <v>4928</v>
      </c>
      <c r="O13" s="55" t="n">
        <v>6092</v>
      </c>
      <c r="P13" s="55" t="n">
        <v>5146</v>
      </c>
      <c r="Q13" s="55" t="n">
        <v>4432</v>
      </c>
      <c r="R13" s="55" t="n">
        <v>3131</v>
      </c>
      <c r="S13" s="55" t="n">
        <v>2245</v>
      </c>
      <c r="T13" s="56" t="n">
        <f aca="false">SUM(B13:S13)</f>
        <v>91937</v>
      </c>
    </row>
    <row r="14" customFormat="false" ht="15" hidden="false" customHeight="true" outlineLevel="0" collapsed="false">
      <c r="A14" s="41" t="s">
        <v>391</v>
      </c>
      <c r="B14" s="42" t="n">
        <v>18</v>
      </c>
      <c r="C14" s="42" t="n">
        <v>19</v>
      </c>
      <c r="D14" s="42" t="n">
        <v>21</v>
      </c>
      <c r="E14" s="42" t="n">
        <v>16</v>
      </c>
      <c r="F14" s="42" t="n">
        <v>14</v>
      </c>
      <c r="G14" s="42" t="n">
        <v>14</v>
      </c>
      <c r="H14" s="42" t="n">
        <v>10</v>
      </c>
      <c r="I14" s="42" t="n">
        <v>11</v>
      </c>
      <c r="J14" s="42" t="n">
        <v>12</v>
      </c>
      <c r="K14" s="42" t="n">
        <v>13</v>
      </c>
      <c r="L14" s="42" t="n">
        <v>11</v>
      </c>
      <c r="M14" s="42" t="n">
        <v>13</v>
      </c>
      <c r="N14" s="42" t="n">
        <v>15</v>
      </c>
      <c r="O14" s="42" t="n">
        <v>12</v>
      </c>
      <c r="P14" s="42" t="n">
        <v>15</v>
      </c>
      <c r="Q14" s="42" t="n">
        <v>17</v>
      </c>
      <c r="R14" s="42" t="n">
        <v>24</v>
      </c>
      <c r="S14" s="42" t="n">
        <v>33</v>
      </c>
      <c r="T14" s="43" t="n">
        <f aca="false">SUM(B14:S14)</f>
        <v>288</v>
      </c>
    </row>
  </sheetData>
  <mergeCells count="6">
    <mergeCell ref="A1:T1"/>
    <mergeCell ref="A2:T2"/>
    <mergeCell ref="A4:T4"/>
    <mergeCell ref="A9:T9"/>
    <mergeCell ref="A11:T11"/>
    <mergeCell ref="A12:T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9" min="2" style="1" width="10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2" t="s">
        <v>392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3.5" hidden="false" customHeight="true" outlineLevel="0" collapsed="false">
      <c r="A2" s="3" t="s">
        <v>393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5.75" hidden="false" customHeight="true" outlineLevel="0" collapsed="false">
      <c r="A4" s="6" t="s">
        <v>394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customFormat="false" ht="15" hidden="false" customHeight="true" outlineLevel="0" collapsed="false">
      <c r="A5" s="41" t="s">
        <v>395</v>
      </c>
      <c r="B5" s="50" t="n">
        <f aca="false">'A — Ricavi'!B31</f>
        <v>0</v>
      </c>
      <c r="C5" s="50" t="n">
        <f aca="false">'A — Ricavi'!C31</f>
        <v>0</v>
      </c>
      <c r="D5" s="50" t="n">
        <f aca="false">'A — Ricavi'!D31</f>
        <v>0</v>
      </c>
      <c r="E5" s="50" t="n">
        <f aca="false">'A — Ricavi'!E31</f>
        <v>0</v>
      </c>
      <c r="F5" s="50" t="n">
        <f aca="false">'A — Ricavi'!F31</f>
        <v>0</v>
      </c>
      <c r="G5" s="50" t="n">
        <f aca="false">'A — Ricavi'!G31</f>
        <v>0</v>
      </c>
      <c r="H5" s="50" t="n">
        <f aca="false">'A — Ricavi'!H31</f>
        <v>0</v>
      </c>
      <c r="I5" s="50" t="n">
        <f aca="false">'A — Ricavi'!I31</f>
        <v>0</v>
      </c>
      <c r="J5" s="50" t="n">
        <f aca="false">'A — Ricavi'!J31</f>
        <v>0</v>
      </c>
      <c r="K5" s="50" t="n">
        <f aca="false">'A — Ricavi'!K31</f>
        <v>0</v>
      </c>
      <c r="L5" s="50" t="n">
        <f aca="false">'A — Ricavi'!L31</f>
        <v>0</v>
      </c>
      <c r="M5" s="50" t="n">
        <f aca="false">'A — Ricavi'!M31</f>
        <v>0</v>
      </c>
      <c r="N5" s="50" t="n">
        <f aca="false">'A — Ricavi'!N31</f>
        <v>0</v>
      </c>
      <c r="O5" s="50" t="n">
        <f aca="false">'A — Ricavi'!O31</f>
        <v>0</v>
      </c>
      <c r="P5" s="50" t="n">
        <f aca="false">'A — Ricavi'!P31</f>
        <v>0</v>
      </c>
      <c r="Q5" s="50" t="n">
        <f aca="false">'A — Ricavi'!Q31</f>
        <v>0</v>
      </c>
      <c r="R5" s="50" t="n">
        <f aca="false">'A — Ricavi'!R31</f>
        <v>0</v>
      </c>
      <c r="S5" s="50" t="n">
        <f aca="false">'A — Ricavi'!S31</f>
        <v>0</v>
      </c>
      <c r="T5" s="72" t="n">
        <f aca="false">SUM(B5:S5)</f>
        <v>0</v>
      </c>
    </row>
    <row r="6" customFormat="false" ht="15" hidden="false" customHeight="true" outlineLevel="0" collapsed="false">
      <c r="A6" s="90" t="s">
        <v>396</v>
      </c>
      <c r="B6" s="91" t="n">
        <f aca="false">'A — Ricavi'!B31</f>
        <v>0</v>
      </c>
      <c r="C6" s="91" t="n">
        <f aca="false">SUM('A — Ricavi'!B31:C31)</f>
        <v>0</v>
      </c>
      <c r="D6" s="91" t="n">
        <f aca="false">SUM('A — Ricavi'!B31:D31)</f>
        <v>0</v>
      </c>
      <c r="E6" s="91" t="n">
        <f aca="false">SUM('A — Ricavi'!B31:E31)</f>
        <v>0</v>
      </c>
      <c r="F6" s="91" t="n">
        <f aca="false">SUM('A — Ricavi'!B31:F31)</f>
        <v>0</v>
      </c>
      <c r="G6" s="91" t="n">
        <f aca="false">SUM('A — Ricavi'!B31:G31)</f>
        <v>0</v>
      </c>
      <c r="H6" s="91" t="n">
        <f aca="false">SUM('A — Ricavi'!B31:H31)</f>
        <v>0</v>
      </c>
      <c r="I6" s="91" t="n">
        <f aca="false">SUM('A — Ricavi'!B31:I31)</f>
        <v>0</v>
      </c>
      <c r="J6" s="91" t="n">
        <f aca="false">SUM('A — Ricavi'!B31:J31)</f>
        <v>0</v>
      </c>
      <c r="K6" s="91" t="n">
        <f aca="false">SUM('A — Ricavi'!B31:K31)</f>
        <v>0</v>
      </c>
      <c r="L6" s="91" t="n">
        <f aca="false">SUM('A — Ricavi'!B31:L31)</f>
        <v>0</v>
      </c>
      <c r="M6" s="91" t="n">
        <f aca="false">SUM('A — Ricavi'!B31:M31)</f>
        <v>0</v>
      </c>
      <c r="N6" s="91" t="n">
        <f aca="false">SUM('A — Ricavi'!B31:N31)</f>
        <v>0</v>
      </c>
      <c r="O6" s="91" t="n">
        <f aca="false">SUM('A — Ricavi'!B31:O31)</f>
        <v>0</v>
      </c>
      <c r="P6" s="91" t="n">
        <f aca="false">SUM('A — Ricavi'!B31:P31)</f>
        <v>0</v>
      </c>
      <c r="Q6" s="91" t="n">
        <f aca="false">SUM('A — Ricavi'!B31:Q31)</f>
        <v>0</v>
      </c>
      <c r="R6" s="91" t="n">
        <f aca="false">SUM('A — Ricavi'!B31:R31)</f>
        <v>0</v>
      </c>
      <c r="S6" s="91" t="n">
        <f aca="false">SUM('A — Ricavi'!B31:S31)</f>
        <v>0</v>
      </c>
      <c r="T6" s="112"/>
    </row>
    <row r="7" customFormat="false" ht="15" hidden="false" customHeight="true" outlineLevel="0" collapsed="false">
      <c r="A7" s="41" t="s">
        <v>397</v>
      </c>
      <c r="B7" s="50" t="n">
        <f aca="false">'A — Ricavi'!B12</f>
        <v>0</v>
      </c>
      <c r="C7" s="50" t="n">
        <f aca="false">'A — Ricavi'!C12</f>
        <v>0</v>
      </c>
      <c r="D7" s="50" t="n">
        <f aca="false">'A — Ricavi'!D12</f>
        <v>0</v>
      </c>
      <c r="E7" s="50" t="n">
        <f aca="false">'A — Ricavi'!E12</f>
        <v>0</v>
      </c>
      <c r="F7" s="50" t="n">
        <f aca="false">'A — Ricavi'!F12</f>
        <v>0</v>
      </c>
      <c r="G7" s="50" t="n">
        <f aca="false">'A — Ricavi'!G12</f>
        <v>0</v>
      </c>
      <c r="H7" s="50" t="n">
        <f aca="false">'A — Ricavi'!H12</f>
        <v>0</v>
      </c>
      <c r="I7" s="50" t="n">
        <f aca="false">'A — Ricavi'!I12</f>
        <v>0</v>
      </c>
      <c r="J7" s="50" t="n">
        <f aca="false">'A — Ricavi'!J12</f>
        <v>0</v>
      </c>
      <c r="K7" s="50" t="n">
        <f aca="false">'A — Ricavi'!K12</f>
        <v>0</v>
      </c>
      <c r="L7" s="50" t="n">
        <f aca="false">'A — Ricavi'!L12</f>
        <v>0</v>
      </c>
      <c r="M7" s="50" t="n">
        <f aca="false">'A — Ricavi'!M12</f>
        <v>0</v>
      </c>
      <c r="N7" s="50" t="n">
        <f aca="false">'A — Ricavi'!N12</f>
        <v>0</v>
      </c>
      <c r="O7" s="50" t="n">
        <f aca="false">'A — Ricavi'!O12</f>
        <v>0</v>
      </c>
      <c r="P7" s="50" t="n">
        <f aca="false">'A — Ricavi'!P12</f>
        <v>0</v>
      </c>
      <c r="Q7" s="50" t="n">
        <f aca="false">'A — Ricavi'!Q12</f>
        <v>0</v>
      </c>
      <c r="R7" s="50" t="n">
        <f aca="false">'A — Ricavi'!R12</f>
        <v>0</v>
      </c>
      <c r="S7" s="50" t="n">
        <f aca="false">'A — Ricavi'!S12</f>
        <v>0</v>
      </c>
      <c r="T7" s="72" t="n">
        <f aca="false">SUM(B7:S7)</f>
        <v>0</v>
      </c>
    </row>
    <row r="8" customFormat="false" ht="15" hidden="false" customHeight="true" outlineLevel="0" collapsed="false">
      <c r="A8" s="41" t="s">
        <v>398</v>
      </c>
      <c r="B8" s="50" t="n">
        <f aca="false">'A — Ricavi'!B21</f>
        <v>0</v>
      </c>
      <c r="C8" s="50" t="n">
        <f aca="false">'A — Ricavi'!C21</f>
        <v>0</v>
      </c>
      <c r="D8" s="50" t="n">
        <f aca="false">'A — Ricavi'!D21</f>
        <v>0</v>
      </c>
      <c r="E8" s="50" t="n">
        <f aca="false">'A — Ricavi'!E21</f>
        <v>22</v>
      </c>
      <c r="F8" s="50" t="n">
        <f aca="false">'A — Ricavi'!F21</f>
        <v>43</v>
      </c>
      <c r="G8" s="50" t="n">
        <f aca="false">'A — Ricavi'!G21</f>
        <v>64</v>
      </c>
      <c r="H8" s="50" t="n">
        <f aca="false">'A — Ricavi'!H21</f>
        <v>116</v>
      </c>
      <c r="I8" s="50" t="n">
        <f aca="false">'A — Ricavi'!I21</f>
        <v>188</v>
      </c>
      <c r="J8" s="50" t="n">
        <f aca="false">'A — Ricavi'!J21</f>
        <v>260</v>
      </c>
      <c r="K8" s="50" t="n">
        <f aca="false">'A — Ricavi'!K21</f>
        <v>312</v>
      </c>
      <c r="L8" s="50" t="n">
        <f aca="false">'A — Ricavi'!L21</f>
        <v>415</v>
      </c>
      <c r="M8" s="50" t="n">
        <f aca="false">'A — Ricavi'!M21</f>
        <v>518</v>
      </c>
      <c r="N8" s="50" t="n">
        <f aca="false">'A — Ricavi'!N21</f>
        <v>621</v>
      </c>
      <c r="O8" s="50" t="n">
        <f aca="false">'A — Ricavi'!O21</f>
        <v>724</v>
      </c>
      <c r="P8" s="50" t="n">
        <f aca="false">'A — Ricavi'!P21</f>
        <v>827</v>
      </c>
      <c r="Q8" s="50" t="n">
        <f aca="false">'A — Ricavi'!Q21</f>
        <v>869</v>
      </c>
      <c r="R8" s="50" t="n">
        <f aca="false">'A — Ricavi'!R21</f>
        <v>931</v>
      </c>
      <c r="S8" s="50" t="n">
        <f aca="false">'A — Ricavi'!S21</f>
        <v>1013</v>
      </c>
      <c r="T8" s="72" t="n">
        <f aca="false">SUM(B8:S8)</f>
        <v>6923</v>
      </c>
    </row>
    <row r="9" customFormat="false" ht="15" hidden="false" customHeight="true" outlineLevel="0" collapsed="false">
      <c r="A9" s="41" t="s">
        <v>399</v>
      </c>
      <c r="B9" s="50" t="n">
        <f aca="false">'A — Ricavi'!B27</f>
        <v>0</v>
      </c>
      <c r="C9" s="50" t="n">
        <f aca="false">'A — Ricavi'!C27</f>
        <v>0</v>
      </c>
      <c r="D9" s="50" t="n">
        <f aca="false">'A — Ricavi'!D27</f>
        <v>0</v>
      </c>
      <c r="E9" s="50" t="n">
        <f aca="false">'A — Ricavi'!E27</f>
        <v>0</v>
      </c>
      <c r="F9" s="50" t="n">
        <f aca="false">'A — Ricavi'!F27</f>
        <v>0</v>
      </c>
      <c r="G9" s="50" t="n">
        <f aca="false">'A — Ricavi'!G27</f>
        <v>0</v>
      </c>
      <c r="H9" s="50" t="n">
        <f aca="false">'A — Ricavi'!H27</f>
        <v>0</v>
      </c>
      <c r="I9" s="50" t="n">
        <f aca="false">'A — Ricavi'!I27</f>
        <v>0</v>
      </c>
      <c r="J9" s="50" t="n">
        <f aca="false">'A — Ricavi'!J27</f>
        <v>0</v>
      </c>
      <c r="K9" s="50" t="n">
        <f aca="false">'A — Ricavi'!K27</f>
        <v>0</v>
      </c>
      <c r="L9" s="50" t="n">
        <f aca="false">'A — Ricavi'!L27</f>
        <v>0</v>
      </c>
      <c r="M9" s="50" t="n">
        <f aca="false">'A — Ricavi'!M27</f>
        <v>0</v>
      </c>
      <c r="N9" s="50" t="n">
        <f aca="false">'A — Ricavi'!N27</f>
        <v>0</v>
      </c>
      <c r="O9" s="50" t="n">
        <f aca="false">'A — Ricavi'!O27</f>
        <v>1</v>
      </c>
      <c r="P9" s="50" t="n">
        <f aca="false">'A — Ricavi'!P27</f>
        <v>1</v>
      </c>
      <c r="Q9" s="50" t="n">
        <f aca="false">'A — Ricavi'!Q27</f>
        <v>1</v>
      </c>
      <c r="R9" s="50" t="n">
        <f aca="false">'A — Ricavi'!R27</f>
        <v>2</v>
      </c>
      <c r="S9" s="50" t="n">
        <f aca="false">'A — Ricavi'!S27</f>
        <v>2</v>
      </c>
      <c r="T9" s="72" t="n">
        <f aca="false">SUM(B9:S9)</f>
        <v>7</v>
      </c>
    </row>
    <row r="10" customFormat="false" ht="15.75" hidden="false" customHeight="true" outlineLevel="0" collapsed="false">
      <c r="A10" s="6" t="s">
        <v>400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customFormat="false" ht="15" hidden="false" customHeight="true" outlineLevel="0" collapsed="false">
      <c r="A11" s="41" t="s">
        <v>401</v>
      </c>
      <c r="B11" s="101" t="n">
        <f aca="false">'A — Ricavi'!B9</f>
        <v>4</v>
      </c>
      <c r="C11" s="101" t="n">
        <f aca="false">'A — Ricavi'!C9</f>
        <v>7</v>
      </c>
      <c r="D11" s="101" t="n">
        <f aca="false">'A — Ricavi'!D9</f>
        <v>13</v>
      </c>
      <c r="E11" s="101" t="n">
        <f aca="false">'A — Ricavi'!E9</f>
        <v>19</v>
      </c>
      <c r="F11" s="101" t="n">
        <f aca="false">'A — Ricavi'!F9</f>
        <v>26</v>
      </c>
      <c r="G11" s="101" t="n">
        <f aca="false">'A — Ricavi'!G9</f>
        <v>34</v>
      </c>
      <c r="H11" s="101" t="n">
        <f aca="false">'A — Ricavi'!H9</f>
        <v>42</v>
      </c>
      <c r="I11" s="101" t="n">
        <f aca="false">'A — Ricavi'!I9</f>
        <v>51</v>
      </c>
      <c r="J11" s="101" t="n">
        <f aca="false">'A — Ricavi'!J9</f>
        <v>60</v>
      </c>
      <c r="K11" s="101" t="n">
        <f aca="false">'A — Ricavi'!K9</f>
        <v>69</v>
      </c>
      <c r="L11" s="101" t="n">
        <f aca="false">'A — Ricavi'!L9</f>
        <v>80</v>
      </c>
      <c r="M11" s="101" t="n">
        <f aca="false">'A — Ricavi'!M9</f>
        <v>91</v>
      </c>
      <c r="N11" s="101" t="n">
        <f aca="false">'A — Ricavi'!N9</f>
        <v>102</v>
      </c>
      <c r="O11" s="101" t="n">
        <f aca="false">'A — Ricavi'!O9</f>
        <v>111</v>
      </c>
      <c r="P11" s="101" t="n">
        <f aca="false">'A — Ricavi'!P9</f>
        <v>121</v>
      </c>
      <c r="Q11" s="101" t="n">
        <f aca="false">'A — Ricavi'!Q9</f>
        <v>131</v>
      </c>
      <c r="R11" s="101" t="n">
        <f aca="false">'A — Ricavi'!R9</f>
        <v>139</v>
      </c>
      <c r="S11" s="101" t="n">
        <f aca="false">'A — Ricavi'!S9</f>
        <v>148</v>
      </c>
      <c r="T11" s="71" t="n">
        <f aca="false">SUM(B11:S11)</f>
        <v>1248</v>
      </c>
    </row>
    <row r="12" customFormat="false" ht="15" hidden="false" customHeight="true" outlineLevel="0" collapsed="false">
      <c r="A12" s="41" t="s">
        <v>402</v>
      </c>
      <c r="B12" s="50" t="n">
        <f aca="false">'A — Ricavi'!B16</f>
        <v>196</v>
      </c>
      <c r="C12" s="50" t="n">
        <f aca="false">'A — Ricavi'!C16</f>
        <v>353</v>
      </c>
      <c r="D12" s="50" t="n">
        <f aca="false">'A — Ricavi'!D16</f>
        <v>777</v>
      </c>
      <c r="E12" s="50" t="n">
        <f aca="false">'A — Ricavi'!E16</f>
        <v>1201</v>
      </c>
      <c r="F12" s="50" t="n">
        <f aca="false">'A — Ricavi'!F16</f>
        <v>1664</v>
      </c>
      <c r="G12" s="50" t="n">
        <f aca="false">'A — Ricavi'!G16</f>
        <v>2166</v>
      </c>
      <c r="H12" s="50" t="n">
        <f aca="false">'A — Ricavi'!H16</f>
        <v>2708</v>
      </c>
      <c r="I12" s="50" t="n">
        <f aca="false">'A — Ricavi'!I16</f>
        <v>3289</v>
      </c>
      <c r="J12" s="50" t="n">
        <f aca="false">'A — Ricavi'!J16</f>
        <v>3870</v>
      </c>
      <c r="K12" s="50" t="n">
        <f aca="false">'A — Ricavi'!K16</f>
        <v>4491</v>
      </c>
      <c r="L12" s="50" t="n">
        <f aca="false">'A — Ricavi'!L16</f>
        <v>5300</v>
      </c>
      <c r="M12" s="50" t="n">
        <f aca="false">'A — Ricavi'!M16</f>
        <v>6109</v>
      </c>
      <c r="N12" s="50" t="n">
        <f aca="false">'A — Ricavi'!N16</f>
        <v>6918</v>
      </c>
      <c r="O12" s="50" t="n">
        <f aca="false">'A — Ricavi'!O16</f>
        <v>7609</v>
      </c>
      <c r="P12" s="50" t="n">
        <f aca="false">'A — Ricavi'!P16</f>
        <v>8379</v>
      </c>
      <c r="Q12" s="50" t="n">
        <f aca="false">'A — Ricavi'!Q16</f>
        <v>9149</v>
      </c>
      <c r="R12" s="50" t="n">
        <f aca="false">'A — Ricavi'!R16</f>
        <v>9801</v>
      </c>
      <c r="S12" s="50" t="n">
        <f aca="false">'A — Ricavi'!S16</f>
        <v>10492</v>
      </c>
      <c r="T12" s="72" t="n">
        <f aca="false">SUM(B12:S12)</f>
        <v>84472</v>
      </c>
    </row>
    <row r="13" customFormat="false" ht="15.75" hidden="false" customHeight="true" outlineLevel="0" collapsed="false">
      <c r="A13" s="6" t="s">
        <v>403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customFormat="false" ht="15" hidden="false" customHeight="true" outlineLevel="0" collapsed="false">
      <c r="A14" s="41" t="s">
        <v>404</v>
      </c>
      <c r="B14" s="50" t="n">
        <f aca="false">MASTER!B18</f>
        <v>4329</v>
      </c>
      <c r="C14" s="50" t="n">
        <f aca="false">MASTER!C18</f>
        <v>4404</v>
      </c>
      <c r="D14" s="50" t="n">
        <f aca="false">MASTER!D18</f>
        <v>4560</v>
      </c>
      <c r="E14" s="50" t="n">
        <f aca="false">MASTER!E18</f>
        <v>6232</v>
      </c>
      <c r="F14" s="50" t="n">
        <f aca="false">MASTER!F18</f>
        <v>7751</v>
      </c>
      <c r="G14" s="50" t="n">
        <f aca="false">MASTER!G18</f>
        <v>8774</v>
      </c>
      <c r="H14" s="50" t="n">
        <f aca="false">MASTER!H18</f>
        <v>11600</v>
      </c>
      <c r="I14" s="50" t="n">
        <f aca="false">MASTER!I18</f>
        <v>11964</v>
      </c>
      <c r="J14" s="50" t="n">
        <f aca="false">MASTER!J18</f>
        <v>12371</v>
      </c>
      <c r="K14" s="50" t="n">
        <f aca="false">MASTER!K18</f>
        <v>12752</v>
      </c>
      <c r="L14" s="50" t="n">
        <f aca="false">MASTER!L18</f>
        <v>14943</v>
      </c>
      <c r="M14" s="50" t="n">
        <f aca="false">MASTER!M18</f>
        <v>15432</v>
      </c>
      <c r="N14" s="50" t="n">
        <f aca="false">MASTER!N18</f>
        <v>16013</v>
      </c>
      <c r="O14" s="50" t="n">
        <f aca="false">MASTER!O18</f>
        <v>18885</v>
      </c>
      <c r="P14" s="50" t="n">
        <f aca="false">MASTER!P18</f>
        <v>19426</v>
      </c>
      <c r="Q14" s="50" t="n">
        <f aca="false">MASTER!Q18</f>
        <v>19900</v>
      </c>
      <c r="R14" s="50" t="n">
        <f aca="false">MASTER!R18</f>
        <v>20387</v>
      </c>
      <c r="S14" s="50" t="n">
        <f aca="false">MASTER!S18</f>
        <v>20849</v>
      </c>
      <c r="T14" s="72" t="n">
        <f aca="false">SUM(B14:S14)</f>
        <v>230572</v>
      </c>
    </row>
    <row r="15" customFormat="false" ht="15" hidden="false" customHeight="true" outlineLevel="0" collapsed="false">
      <c r="A15" s="113" t="s">
        <v>405</v>
      </c>
      <c r="B15" s="114" t="n">
        <f aca="false">'B4 — Personale'!B34</f>
        <v>3500</v>
      </c>
      <c r="C15" s="114" t="n">
        <f aca="false">'B4 — Personale'!C34</f>
        <v>3500</v>
      </c>
      <c r="D15" s="114" t="n">
        <f aca="false">'B4 — Personale'!D34</f>
        <v>3500</v>
      </c>
      <c r="E15" s="114" t="n">
        <f aca="false">'B4 — Personale'!E34</f>
        <v>5000</v>
      </c>
      <c r="F15" s="114" t="n">
        <f aca="false">'B4 — Personale'!F34</f>
        <v>6200</v>
      </c>
      <c r="G15" s="114" t="n">
        <f aca="false">'B4 — Personale'!G34</f>
        <v>6900</v>
      </c>
      <c r="H15" s="114" t="n">
        <f aca="false">'B4 — Personale'!H34</f>
        <v>9400</v>
      </c>
      <c r="I15" s="114" t="n">
        <f aca="false">'B4 — Personale'!I34</f>
        <v>9400</v>
      </c>
      <c r="J15" s="114" t="n">
        <f aca="false">'B4 — Personale'!J34</f>
        <v>9400</v>
      </c>
      <c r="K15" s="114" t="n">
        <f aca="false">'B4 — Personale'!K34</f>
        <v>9400</v>
      </c>
      <c r="L15" s="114" t="n">
        <f aca="false">'B4 — Personale'!L34</f>
        <v>11100</v>
      </c>
      <c r="M15" s="114" t="n">
        <f aca="false">'B4 — Personale'!M34</f>
        <v>11100</v>
      </c>
      <c r="N15" s="114" t="n">
        <f aca="false">'B4 — Personale'!N34</f>
        <v>11100</v>
      </c>
      <c r="O15" s="114" t="n">
        <f aca="false">'B4 — Personale'!O34</f>
        <v>13500</v>
      </c>
      <c r="P15" s="114" t="n">
        <f aca="false">'B4 — Personale'!P34</f>
        <v>13500</v>
      </c>
      <c r="Q15" s="114" t="n">
        <f aca="false">'B4 — Personale'!Q34</f>
        <v>13500</v>
      </c>
      <c r="R15" s="114" t="n">
        <f aca="false">'B4 — Personale'!R34</f>
        <v>13500</v>
      </c>
      <c r="S15" s="114" t="n">
        <f aca="false">'B4 — Personale'!S34</f>
        <v>13500</v>
      </c>
      <c r="T15" s="72" t="n">
        <f aca="false">SUM(B15:S15)</f>
        <v>167000</v>
      </c>
    </row>
    <row r="16" customFormat="false" ht="15" hidden="false" customHeight="true" outlineLevel="0" collapsed="false">
      <c r="A16" s="88" t="s">
        <v>406</v>
      </c>
      <c r="B16" s="76" t="n">
        <f aca="false">'B3 — Marketing'!B28</f>
        <v>170</v>
      </c>
      <c r="C16" s="76" t="n">
        <f aca="false">'B3 — Marketing'!C28</f>
        <v>180</v>
      </c>
      <c r="D16" s="76" t="n">
        <f aca="false">'B3 — Marketing'!D28</f>
        <v>220</v>
      </c>
      <c r="E16" s="76" t="n">
        <f aca="false">'B3 — Marketing'!E28</f>
        <v>230</v>
      </c>
      <c r="F16" s="76" t="n">
        <f aca="false">'B3 — Marketing'!F28</f>
        <v>310</v>
      </c>
      <c r="G16" s="76" t="n">
        <f aca="false">'B3 — Marketing'!G28</f>
        <v>390</v>
      </c>
      <c r="H16" s="76" t="n">
        <f aca="false">'B3 — Marketing'!H28</f>
        <v>470</v>
      </c>
      <c r="I16" s="76" t="n">
        <f aca="false">'B3 — Marketing'!I28</f>
        <v>550</v>
      </c>
      <c r="J16" s="76" t="n">
        <f aca="false">'B3 — Marketing'!J28</f>
        <v>640</v>
      </c>
      <c r="K16" s="76" t="n">
        <f aca="false">'B3 — Marketing'!K28</f>
        <v>700</v>
      </c>
      <c r="L16" s="76" t="n">
        <f aca="false">'B3 — Marketing'!L28</f>
        <v>790</v>
      </c>
      <c r="M16" s="76" t="n">
        <f aca="false">'B3 — Marketing'!M28</f>
        <v>870</v>
      </c>
      <c r="N16" s="76" t="n">
        <f aca="false">'B3 — Marketing'!N28</f>
        <v>960</v>
      </c>
      <c r="O16" s="76" t="n">
        <f aca="false">'B3 — Marketing'!O28</f>
        <v>1040</v>
      </c>
      <c r="P16" s="76" t="n">
        <f aca="false">'B3 — Marketing'!P28</f>
        <v>1130</v>
      </c>
      <c r="Q16" s="76" t="n">
        <f aca="false">'B3 — Marketing'!Q28</f>
        <v>1210</v>
      </c>
      <c r="R16" s="76" t="n">
        <f aca="false">'B3 — Marketing'!R28</f>
        <v>1290</v>
      </c>
      <c r="S16" s="76" t="n">
        <f aca="false">'B3 — Marketing'!S28</f>
        <v>1370</v>
      </c>
      <c r="T16" s="77" t="n">
        <f aca="false">SUM(B16:S16)</f>
        <v>12520</v>
      </c>
    </row>
    <row r="17" customFormat="false" ht="15" hidden="false" customHeight="true" outlineLevel="0" collapsed="false">
      <c r="A17" s="41" t="s">
        <v>407</v>
      </c>
      <c r="B17" s="50" t="n">
        <f aca="false">'B1 — Infrastruttura'!B18</f>
        <v>150</v>
      </c>
      <c r="C17" s="50" t="n">
        <f aca="false">'B1 — Infrastruttura'!C18</f>
        <v>175</v>
      </c>
      <c r="D17" s="50" t="n">
        <f aca="false">'B1 — Infrastruttura'!D18</f>
        <v>220</v>
      </c>
      <c r="E17" s="50" t="n">
        <f aca="false">'B1 — Infrastruttura'!E18</f>
        <v>277</v>
      </c>
      <c r="F17" s="50" t="n">
        <f aca="false">'B1 — Infrastruttura'!F18</f>
        <v>400</v>
      </c>
      <c r="G17" s="50" t="n">
        <f aca="false">'B1 — Infrastruttura'!G18</f>
        <v>513</v>
      </c>
      <c r="H17" s="50" t="n">
        <f aca="false">'B1 — Infrastruttura'!H18</f>
        <v>610</v>
      </c>
      <c r="I17" s="50" t="n">
        <f aca="false">'B1 — Infrastruttura'!I18</f>
        <v>733</v>
      </c>
      <c r="J17" s="50" t="n">
        <f aca="false">'B1 — Infrastruttura'!J18</f>
        <v>880</v>
      </c>
      <c r="K17" s="50" t="n">
        <f aca="false">'B1 — Infrastruttura'!K18</f>
        <v>1033</v>
      </c>
      <c r="L17" s="50" t="n">
        <f aca="false">'B1 — Infrastruttura'!L18</f>
        <v>1207</v>
      </c>
      <c r="M17" s="50" t="n">
        <f aca="false">'B1 — Infrastruttura'!M18</f>
        <v>1416</v>
      </c>
      <c r="N17" s="50" t="n">
        <f aca="false">'B1 — Infrastruttura'!N18</f>
        <v>1635</v>
      </c>
      <c r="O17" s="50" t="n">
        <f aca="false">'B1 — Infrastruttura'!O18</f>
        <v>1834</v>
      </c>
      <c r="P17" s="50" t="n">
        <f aca="false">'B1 — Infrastruttura'!P18</f>
        <v>2033</v>
      </c>
      <c r="Q17" s="50" t="n">
        <f aca="false">'B1 — Infrastruttura'!Q18</f>
        <v>2222</v>
      </c>
      <c r="R17" s="50" t="n">
        <f aca="false">'B1 — Infrastruttura'!R18</f>
        <v>2396</v>
      </c>
      <c r="S17" s="50" t="n">
        <f aca="false">'B1 — Infrastruttura'!S18</f>
        <v>2565</v>
      </c>
      <c r="T17" s="72" t="n">
        <f aca="false">SUM(B17:S17)</f>
        <v>20299</v>
      </c>
    </row>
    <row r="18" customFormat="false" ht="15.75" hidden="false" customHeight="true" outlineLevel="0" collapsed="false">
      <c r="A18" s="6" t="s">
        <v>408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customFormat="false" ht="15" hidden="false" customHeight="true" outlineLevel="0" collapsed="false">
      <c r="A19" s="115" t="s">
        <v>409</v>
      </c>
      <c r="B19" s="116" t="n">
        <f aca="false">MASTER!B20</f>
        <v>-4133</v>
      </c>
      <c r="C19" s="116" t="n">
        <f aca="false">MASTER!C20</f>
        <v>-4051</v>
      </c>
      <c r="D19" s="116" t="n">
        <f aca="false">MASTER!D20</f>
        <v>-3504</v>
      </c>
      <c r="E19" s="116" t="n">
        <f aca="false">MASTER!E20</f>
        <v>-4231</v>
      </c>
      <c r="F19" s="116" t="n">
        <f aca="false">MASTER!F20</f>
        <v>-4767</v>
      </c>
      <c r="G19" s="116" t="n">
        <f aca="false">MASTER!G20</f>
        <v>-4489</v>
      </c>
      <c r="H19" s="116" t="n">
        <f aca="false">MASTER!H20</f>
        <v>-5772</v>
      </c>
      <c r="I19" s="116" t="n">
        <f aca="false">MASTER!I20</f>
        <v>-4705</v>
      </c>
      <c r="J19" s="116" t="n">
        <f aca="false">MASTER!J20</f>
        <v>-3510</v>
      </c>
      <c r="K19" s="116" t="n">
        <f aca="false">MASTER!K20</f>
        <v>-2440</v>
      </c>
      <c r="L19" s="116" t="n">
        <f aca="false">MASTER!L20</f>
        <v>-2770</v>
      </c>
      <c r="M19" s="116" t="n">
        <f aca="false">MASTER!M20</f>
        <v>-1569</v>
      </c>
      <c r="N19" s="116" t="n">
        <f aca="false">MASTER!N20</f>
        <v>810</v>
      </c>
      <c r="O19" s="116" t="n">
        <f aca="false">MASTER!O20</f>
        <v>9</v>
      </c>
      <c r="P19" s="116" t="n">
        <f aca="false">MASTER!P20</f>
        <v>2668</v>
      </c>
      <c r="Q19" s="116" t="n">
        <f aca="false">MASTER!Q20</f>
        <v>4234</v>
      </c>
      <c r="R19" s="116" t="n">
        <f aca="false">MASTER!R20</f>
        <v>7287</v>
      </c>
      <c r="S19" s="116" t="n">
        <f aca="false">MASTER!S20</f>
        <v>9325</v>
      </c>
      <c r="T19" s="72" t="n">
        <f aca="false">SUM(B19:S19)</f>
        <v>-21608</v>
      </c>
    </row>
    <row r="20" customFormat="false" ht="15" hidden="false" customHeight="true" outlineLevel="0" collapsed="false">
      <c r="A20" s="115" t="s">
        <v>410</v>
      </c>
      <c r="B20" s="116" t="n">
        <f aca="false">MASTER!B25</f>
        <v>-4133</v>
      </c>
      <c r="C20" s="116" t="n">
        <f aca="false">MASTER!C25</f>
        <v>-4051</v>
      </c>
      <c r="D20" s="116" t="n">
        <f aca="false">MASTER!D25</f>
        <v>-3504</v>
      </c>
      <c r="E20" s="116" t="n">
        <f aca="false">MASTER!E25</f>
        <v>-4181</v>
      </c>
      <c r="F20" s="116" t="n">
        <f aca="false">MASTER!F25</f>
        <v>-4717</v>
      </c>
      <c r="G20" s="116" t="n">
        <f aca="false">MASTER!G25</f>
        <v>-4439</v>
      </c>
      <c r="H20" s="116" t="n">
        <f aca="false">MASTER!H25</f>
        <v>-5692</v>
      </c>
      <c r="I20" s="116" t="n">
        <f aca="false">MASTER!I25</f>
        <v>-4625</v>
      </c>
      <c r="J20" s="116" t="n">
        <f aca="false">MASTER!J25</f>
        <v>-3430</v>
      </c>
      <c r="K20" s="116" t="n">
        <f aca="false">MASTER!K25</f>
        <v>-2360</v>
      </c>
      <c r="L20" s="116" t="n">
        <f aca="false">MASTER!L25</f>
        <v>-2670</v>
      </c>
      <c r="M20" s="116" t="n">
        <f aca="false">MASTER!M25</f>
        <v>-1469</v>
      </c>
      <c r="N20" s="116" t="n">
        <f aca="false">MASTER!N25</f>
        <v>930</v>
      </c>
      <c r="O20" s="116" t="n">
        <f aca="false">MASTER!O25</f>
        <v>129</v>
      </c>
      <c r="P20" s="116" t="n">
        <f aca="false">MASTER!P25</f>
        <v>2788</v>
      </c>
      <c r="Q20" s="116" t="n">
        <f aca="false">MASTER!Q25</f>
        <v>4354</v>
      </c>
      <c r="R20" s="116" t="n">
        <f aca="false">MASTER!R25</f>
        <v>7437</v>
      </c>
      <c r="S20" s="116" t="n">
        <f aca="false">MASTER!S25</f>
        <v>9475</v>
      </c>
      <c r="T20" s="72" t="n">
        <f aca="false">SUM(B20:S20)</f>
        <v>-20158</v>
      </c>
    </row>
    <row r="21" customFormat="false" ht="15" hidden="false" customHeight="true" outlineLevel="0" collapsed="false">
      <c r="A21" s="117" t="s">
        <v>411</v>
      </c>
      <c r="B21" s="118" t="n">
        <f aca="false">MASTER!B30</f>
        <v>-4133</v>
      </c>
      <c r="C21" s="118" t="n">
        <f aca="false">MASTER!C30</f>
        <v>-4051</v>
      </c>
      <c r="D21" s="118" t="n">
        <f aca="false">MASTER!D30</f>
        <v>-3504</v>
      </c>
      <c r="E21" s="118" t="n">
        <f aca="false">MASTER!E30</f>
        <v>-4181</v>
      </c>
      <c r="F21" s="118" t="n">
        <f aca="false">MASTER!F30</f>
        <v>-4717</v>
      </c>
      <c r="G21" s="118" t="n">
        <f aca="false">MASTER!G30</f>
        <v>-4439</v>
      </c>
      <c r="H21" s="118" t="n">
        <f aca="false">MASTER!H30</f>
        <v>-5692</v>
      </c>
      <c r="I21" s="118" t="n">
        <f aca="false">MASTER!I30</f>
        <v>-4625</v>
      </c>
      <c r="J21" s="118" t="n">
        <f aca="false">MASTER!J30</f>
        <v>-3430</v>
      </c>
      <c r="K21" s="118" t="n">
        <f aca="false">MASTER!K30</f>
        <v>-2360</v>
      </c>
      <c r="L21" s="118" t="n">
        <f aca="false">MASTER!L30</f>
        <v>-2670</v>
      </c>
      <c r="M21" s="118" t="n">
        <f aca="false">MASTER!M30</f>
        <v>-1469</v>
      </c>
      <c r="N21" s="118" t="n">
        <f aca="false">MASTER!N30</f>
        <v>670.53</v>
      </c>
      <c r="O21" s="118" t="n">
        <f aca="false">MASTER!O30</f>
        <v>93.009</v>
      </c>
      <c r="P21" s="118" t="n">
        <f aca="false">MASTER!P30</f>
        <v>2010.148</v>
      </c>
      <c r="Q21" s="118" t="n">
        <f aca="false">MASTER!Q30</f>
        <v>3139.234</v>
      </c>
      <c r="R21" s="118" t="n">
        <f aca="false">MASTER!R30</f>
        <v>5362.077</v>
      </c>
      <c r="S21" s="118" t="n">
        <f aca="false">MASTER!S30</f>
        <v>6831.475</v>
      </c>
      <c r="T21" s="72" t="n">
        <f aca="false">SUM(B21:S21)</f>
        <v>-27164.527</v>
      </c>
    </row>
    <row r="22" customFormat="false" ht="15.75" hidden="false" customHeight="true" outlineLevel="0" collapsed="false">
      <c r="A22" s="6" t="s">
        <v>412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customFormat="false" ht="15" hidden="false" customHeight="true" outlineLevel="0" collapsed="false">
      <c r="A23" s="41" t="s">
        <v>413</v>
      </c>
      <c r="B23" s="119" t="n">
        <f aca="false">IF('A — Ricavi'!B31&gt;0,('A — Ricavi'!B31-'B1 — Infrastruttura'!B18-'B6 — Costi Variabili'!B16)/'A — Ricavi'!B31,0)</f>
        <v>0</v>
      </c>
      <c r="C23" s="119" t="n">
        <f aca="false">IF('A — Ricavi'!C31&gt;0,('A — Ricavi'!C31-'B1 — Infrastruttura'!C18-'B6 — Costi Variabili'!C16)/'A — Ricavi'!C31,0)</f>
        <v>0</v>
      </c>
      <c r="D23" s="119" t="n">
        <f aca="false">IF('A — Ricavi'!D31&gt;0,('A — Ricavi'!D31-'B1 — Infrastruttura'!D18-'B6 — Costi Variabili'!D16)/'A — Ricavi'!D31,0)</f>
        <v>0</v>
      </c>
      <c r="E23" s="119" t="n">
        <f aca="false">IF('A — Ricavi'!E31&gt;0,('A — Ricavi'!E31-'B1 — Infrastruttura'!E18-'B6 — Costi Variabili'!E16)/'A — Ricavi'!E31,0)</f>
        <v>0</v>
      </c>
      <c r="F23" s="119" t="n">
        <f aca="false">IF('A — Ricavi'!F31&gt;0,('A — Ricavi'!F31-'B1 — Infrastruttura'!F18-'B6 — Costi Variabili'!F16)/'A — Ricavi'!F31,0)</f>
        <v>0</v>
      </c>
      <c r="G23" s="119" t="n">
        <f aca="false">IF('A — Ricavi'!G31&gt;0,('A — Ricavi'!G31-'B1 — Infrastruttura'!G18-'B6 — Costi Variabili'!G16)/'A — Ricavi'!G31,0)</f>
        <v>0</v>
      </c>
      <c r="H23" s="119" t="n">
        <f aca="false">IF('A — Ricavi'!H31&gt;0,('A — Ricavi'!H31-'B1 — Infrastruttura'!H18-'B6 — Costi Variabili'!H16)/'A — Ricavi'!H31,0)</f>
        <v>0</v>
      </c>
      <c r="I23" s="119" t="n">
        <f aca="false">IF('A — Ricavi'!I31&gt;0,('A — Ricavi'!I31-'B1 — Infrastruttura'!I18-'B6 — Costi Variabili'!I16)/'A — Ricavi'!I31,0)</f>
        <v>0</v>
      </c>
      <c r="J23" s="119" t="n">
        <f aca="false">IF('A — Ricavi'!J31&gt;0,('A — Ricavi'!J31-'B1 — Infrastruttura'!J18-'B6 — Costi Variabili'!J16)/'A — Ricavi'!J31,0)</f>
        <v>0</v>
      </c>
      <c r="K23" s="119" t="n">
        <f aca="false">IF('A — Ricavi'!K31&gt;0,('A — Ricavi'!K31-'B1 — Infrastruttura'!K18-'B6 — Costi Variabili'!K16)/'A — Ricavi'!K31,0)</f>
        <v>0</v>
      </c>
      <c r="L23" s="119" t="n">
        <f aca="false">IF('A — Ricavi'!L31&gt;0,('A — Ricavi'!L31-'B1 — Infrastruttura'!L18-'B6 — Costi Variabili'!L16)/'A — Ricavi'!L31,0)</f>
        <v>0</v>
      </c>
      <c r="M23" s="119" t="n">
        <f aca="false">IF('A — Ricavi'!M31&gt;0,('A — Ricavi'!M31-'B1 — Infrastruttura'!M18-'B6 — Costi Variabili'!M16)/'A — Ricavi'!M31,0)</f>
        <v>0</v>
      </c>
      <c r="N23" s="119" t="n">
        <f aca="false">IF('A — Ricavi'!N31&gt;0,('A — Ricavi'!N31-'B1 — Infrastruttura'!N18-'B6 — Costi Variabili'!N16)/'A — Ricavi'!N31,0)</f>
        <v>0</v>
      </c>
      <c r="O23" s="119" t="n">
        <f aca="false">IF('A — Ricavi'!O31&gt;0,('A — Ricavi'!O31-'B1 — Infrastruttura'!O18-'B6 — Costi Variabili'!O16)/'A — Ricavi'!O31,0)</f>
        <v>0</v>
      </c>
      <c r="P23" s="119" t="n">
        <f aca="false">IF('A — Ricavi'!P31&gt;0,('A — Ricavi'!P31-'B1 — Infrastruttura'!P18-'B6 — Costi Variabili'!P16)/'A — Ricavi'!P31,0)</f>
        <v>0</v>
      </c>
      <c r="Q23" s="119" t="n">
        <f aca="false">IF('A — Ricavi'!Q31&gt;0,('A — Ricavi'!Q31-'B1 — Infrastruttura'!Q18-'B6 — Costi Variabili'!Q16)/'A — Ricavi'!Q31,0)</f>
        <v>0</v>
      </c>
      <c r="R23" s="119" t="n">
        <f aca="false">IF('A — Ricavi'!R31&gt;0,('A — Ricavi'!R31-'B1 — Infrastruttura'!R18-'B6 — Costi Variabili'!R16)/'A — Ricavi'!R31,0)</f>
        <v>0</v>
      </c>
      <c r="S23" s="119" t="n">
        <f aca="false">IF('A — Ricavi'!S31&gt;0,('A — Ricavi'!S31-'B1 — Infrastruttura'!S18-'B6 — Costi Variabili'!S16)/'A — Ricavi'!S31,0)</f>
        <v>0</v>
      </c>
      <c r="T23" s="120" t="n">
        <f aca="false">AVERAGE(B23:S23)</f>
        <v>0</v>
      </c>
    </row>
    <row r="24" customFormat="false" ht="15" hidden="false" customHeight="true" outlineLevel="0" collapsed="false">
      <c r="A24" s="88" t="s">
        <v>414</v>
      </c>
      <c r="B24" s="121" t="n">
        <f aca="false">IF('A — Ricavi'!B31&gt;0,'B3 — Marketing'!B26/'A — Ricavi'!B31,0)</f>
        <v>0</v>
      </c>
      <c r="C24" s="121" t="n">
        <f aca="false">IF('A — Ricavi'!C31&gt;0,'B3 — Marketing'!C26/'A — Ricavi'!C31,0)</f>
        <v>0</v>
      </c>
      <c r="D24" s="121" t="n">
        <f aca="false">IF('A — Ricavi'!D31&gt;0,'B3 — Marketing'!D26/'A — Ricavi'!D31,0)</f>
        <v>0</v>
      </c>
      <c r="E24" s="121" t="n">
        <f aca="false">IF('A — Ricavi'!E31&gt;0,'B3 — Marketing'!E26/'A — Ricavi'!E31,0)</f>
        <v>0</v>
      </c>
      <c r="F24" s="121" t="n">
        <f aca="false">IF('A — Ricavi'!F31&gt;0,'B3 — Marketing'!F26/'A — Ricavi'!F31,0)</f>
        <v>0</v>
      </c>
      <c r="G24" s="121" t="n">
        <f aca="false">IF('A — Ricavi'!G31&gt;0,'B3 — Marketing'!G26/'A — Ricavi'!G31,0)</f>
        <v>0</v>
      </c>
      <c r="H24" s="121" t="n">
        <f aca="false">IF('A — Ricavi'!H31&gt;0,'B3 — Marketing'!H26/'A — Ricavi'!H31,0)</f>
        <v>0</v>
      </c>
      <c r="I24" s="121" t="n">
        <f aca="false">IF('A — Ricavi'!I31&gt;0,'B3 — Marketing'!I26/'A — Ricavi'!I31,0)</f>
        <v>0</v>
      </c>
      <c r="J24" s="121" t="n">
        <f aca="false">IF('A — Ricavi'!J31&gt;0,'B3 — Marketing'!J26/'A — Ricavi'!J31,0)</f>
        <v>0</v>
      </c>
      <c r="K24" s="121" t="n">
        <f aca="false">IF('A — Ricavi'!K31&gt;0,'B3 — Marketing'!K26/'A — Ricavi'!K31,0)</f>
        <v>0</v>
      </c>
      <c r="L24" s="121" t="n">
        <f aca="false">IF('A — Ricavi'!L31&gt;0,'B3 — Marketing'!L26/'A — Ricavi'!L31,0)</f>
        <v>0</v>
      </c>
      <c r="M24" s="121" t="n">
        <f aca="false">IF('A — Ricavi'!M31&gt;0,'B3 — Marketing'!M26/'A — Ricavi'!M31,0)</f>
        <v>0</v>
      </c>
      <c r="N24" s="121" t="n">
        <f aca="false">IF('A — Ricavi'!N31&gt;0,'B3 — Marketing'!N26/'A — Ricavi'!N31,0)</f>
        <v>0</v>
      </c>
      <c r="O24" s="121" t="n">
        <f aca="false">IF('A — Ricavi'!O31&gt;0,'B3 — Marketing'!O26/'A — Ricavi'!O31,0)</f>
        <v>0</v>
      </c>
      <c r="P24" s="121" t="n">
        <f aca="false">IF('A — Ricavi'!P31&gt;0,'B3 — Marketing'!P26/'A — Ricavi'!P31,0)</f>
        <v>0</v>
      </c>
      <c r="Q24" s="121" t="n">
        <f aca="false">IF('A — Ricavi'!Q31&gt;0,'B3 — Marketing'!Q26/'A — Ricavi'!Q31,0)</f>
        <v>0</v>
      </c>
      <c r="R24" s="121" t="n">
        <f aca="false">IF('A — Ricavi'!R31&gt;0,'B3 — Marketing'!R26/'A — Ricavi'!R31,0)</f>
        <v>0</v>
      </c>
      <c r="S24" s="121" t="n">
        <f aca="false">IF('A — Ricavi'!S31&gt;0,'B3 — Marketing'!S26/'A — Ricavi'!S31,0)</f>
        <v>0</v>
      </c>
      <c r="T24" s="122" t="n">
        <f aca="false">AVERAGE(B24:S24)</f>
        <v>0</v>
      </c>
    </row>
    <row r="25" customFormat="false" ht="15" hidden="false" customHeight="true" outlineLevel="0" collapsed="false">
      <c r="A25" s="41" t="s">
        <v>415</v>
      </c>
      <c r="B25" s="119" t="n">
        <f aca="false">IF(MASTER!B18&gt;0,'B4 — Personale'!B34/MASTER!B18,0)</f>
        <v>0.808500808500809</v>
      </c>
      <c r="C25" s="119" t="n">
        <f aca="false">IF(MASTER!C18&gt;0,'B4 — Personale'!C34/MASTER!C18,0)</f>
        <v>0.794732061762035</v>
      </c>
      <c r="D25" s="119" t="n">
        <f aca="false">IF(MASTER!D18&gt;0,'B4 — Personale'!D34/MASTER!D18,0)</f>
        <v>0.767543859649123</v>
      </c>
      <c r="E25" s="119" t="n">
        <f aca="false">IF(MASTER!E18&gt;0,'B4 — Personale'!E34/MASTER!E18,0)</f>
        <v>0.802310654685494</v>
      </c>
      <c r="F25" s="119" t="n">
        <f aca="false">IF(MASTER!F18&gt;0,'B4 — Personale'!F34/MASTER!F18,0)</f>
        <v>0.799896787511289</v>
      </c>
      <c r="G25" s="119" t="n">
        <f aca="false">IF(MASTER!G18&gt;0,'B4 — Personale'!G34/MASTER!G18,0)</f>
        <v>0.786414406200137</v>
      </c>
      <c r="H25" s="119" t="n">
        <f aca="false">IF(MASTER!H18&gt;0,'B4 — Personale'!H34/MASTER!H18,0)</f>
        <v>0.810344827586207</v>
      </c>
      <c r="I25" s="119" t="n">
        <f aca="false">IF(MASTER!I18&gt;0,'B4 — Personale'!I34/MASTER!I18,0)</f>
        <v>0.785690404546974</v>
      </c>
      <c r="J25" s="119" t="n">
        <f aca="false">IF(MASTER!J18&gt;0,'B4 — Personale'!J34/MASTER!J18,0)</f>
        <v>0.759841564950287</v>
      </c>
      <c r="K25" s="119" t="n">
        <f aca="false">IF(MASTER!K18&gt;0,'B4 — Personale'!K34/MASTER!K18,0)</f>
        <v>0.737139272271016</v>
      </c>
      <c r="L25" s="119" t="n">
        <f aca="false">IF(MASTER!L18&gt;0,'B4 — Personale'!L34/MASTER!L18,0)</f>
        <v>0.742822726360169</v>
      </c>
      <c r="M25" s="119" t="n">
        <f aca="false">IF(MASTER!M18&gt;0,'B4 — Personale'!M34/MASTER!M18,0)</f>
        <v>0.719284603421462</v>
      </c>
      <c r="N25" s="119" t="n">
        <f aca="false">IF(MASTER!N18&gt;0,'B4 — Personale'!N34/MASTER!N18,0)</f>
        <v>0.693186785736589</v>
      </c>
      <c r="O25" s="119" t="n">
        <f aca="false">IF(MASTER!O18&gt;0,'B4 — Personale'!O34/MASTER!O18,0)</f>
        <v>0.714853057982526</v>
      </c>
      <c r="P25" s="119" t="n">
        <f aca="false">IF(MASTER!P18&gt;0,'B4 — Personale'!P34/MASTER!P18,0)</f>
        <v>0.69494491918048</v>
      </c>
      <c r="Q25" s="119" t="n">
        <f aca="false">IF(MASTER!Q18&gt;0,'B4 — Personale'!Q34/MASTER!Q18,0)</f>
        <v>0.678391959798995</v>
      </c>
      <c r="R25" s="119" t="n">
        <f aca="false">IF(MASTER!R18&gt;0,'B4 — Personale'!R34/MASTER!R18,0)</f>
        <v>0.662186687595036</v>
      </c>
      <c r="S25" s="119" t="n">
        <f aca="false">IF(MASTER!S18&gt;0,'B4 — Personale'!S34/MASTER!S18,0)</f>
        <v>0.647513070171231</v>
      </c>
      <c r="T25" s="120" t="n">
        <f aca="false">AVERAGE(B25:S25)</f>
        <v>0.744755469883881</v>
      </c>
    </row>
    <row r="26" customFormat="false" ht="15" hidden="false" customHeight="true" outlineLevel="0" collapsed="false">
      <c r="A26" s="41" t="s">
        <v>416</v>
      </c>
      <c r="B26" s="119" t="n">
        <f aca="false">IF('A — Ricavi'!B31&gt;0,MASTER!B20/'A — Ricavi'!B31,0)</f>
        <v>0</v>
      </c>
      <c r="C26" s="119" t="n">
        <f aca="false">IF('A — Ricavi'!C31&gt;0,MASTER!C20/'A — Ricavi'!C31,0)</f>
        <v>0</v>
      </c>
      <c r="D26" s="119" t="n">
        <f aca="false">IF('A — Ricavi'!D31&gt;0,MASTER!D20/'A — Ricavi'!D31,0)</f>
        <v>0</v>
      </c>
      <c r="E26" s="119" t="n">
        <f aca="false">IF('A — Ricavi'!E31&gt;0,MASTER!E20/'A — Ricavi'!E31,0)</f>
        <v>0</v>
      </c>
      <c r="F26" s="119" t="n">
        <f aca="false">IF('A — Ricavi'!F31&gt;0,MASTER!F20/'A — Ricavi'!F31,0)</f>
        <v>0</v>
      </c>
      <c r="G26" s="119" t="n">
        <f aca="false">IF('A — Ricavi'!G31&gt;0,MASTER!G20/'A — Ricavi'!G31,0)</f>
        <v>0</v>
      </c>
      <c r="H26" s="119" t="n">
        <f aca="false">IF('A — Ricavi'!H31&gt;0,MASTER!H20/'A — Ricavi'!H31,0)</f>
        <v>0</v>
      </c>
      <c r="I26" s="119" t="n">
        <f aca="false">IF('A — Ricavi'!I31&gt;0,MASTER!I20/'A — Ricavi'!I31,0)</f>
        <v>0</v>
      </c>
      <c r="J26" s="119" t="n">
        <f aca="false">IF('A — Ricavi'!J31&gt;0,MASTER!J20/'A — Ricavi'!J31,0)</f>
        <v>0</v>
      </c>
      <c r="K26" s="119" t="n">
        <f aca="false">IF('A — Ricavi'!K31&gt;0,MASTER!K20/'A — Ricavi'!K31,0)</f>
        <v>0</v>
      </c>
      <c r="L26" s="119" t="n">
        <f aca="false">IF('A — Ricavi'!L31&gt;0,MASTER!L20/'A — Ricavi'!L31,0)</f>
        <v>0</v>
      </c>
      <c r="M26" s="119" t="n">
        <f aca="false">IF('A — Ricavi'!M31&gt;0,MASTER!M20/'A — Ricavi'!M31,0)</f>
        <v>0</v>
      </c>
      <c r="N26" s="119" t="n">
        <f aca="false">IF('A — Ricavi'!N31&gt;0,MASTER!N20/'A — Ricavi'!N31,0)</f>
        <v>0</v>
      </c>
      <c r="O26" s="119" t="n">
        <f aca="false">IF('A — Ricavi'!O31&gt;0,MASTER!O20/'A — Ricavi'!O31,0)</f>
        <v>0</v>
      </c>
      <c r="P26" s="119" t="n">
        <f aca="false">IF('A — Ricavi'!P31&gt;0,MASTER!P20/'A — Ricavi'!P31,0)</f>
        <v>0</v>
      </c>
      <c r="Q26" s="119" t="n">
        <f aca="false">IF('A — Ricavi'!Q31&gt;0,MASTER!Q20/'A — Ricavi'!Q31,0)</f>
        <v>0</v>
      </c>
      <c r="R26" s="119" t="n">
        <f aca="false">IF('A — Ricavi'!R31&gt;0,MASTER!R20/'A — Ricavi'!R31,0)</f>
        <v>0</v>
      </c>
      <c r="S26" s="119" t="n">
        <f aca="false">IF('A — Ricavi'!S31&gt;0,MASTER!S20/'A — Ricavi'!S31,0)</f>
        <v>0</v>
      </c>
      <c r="T26" s="120" t="n">
        <f aca="false">AVERAGE(B26:S26)</f>
        <v>0</v>
      </c>
    </row>
    <row r="27" customFormat="false" ht="15.75" hidden="false" customHeight="true" outlineLevel="0" collapsed="false">
      <c r="A27" s="38" t="s">
        <v>417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</row>
  </sheetData>
  <mergeCells count="8">
    <mergeCell ref="A1:T1"/>
    <mergeCell ref="A2:T2"/>
    <mergeCell ref="A4:T4"/>
    <mergeCell ref="A10:T10"/>
    <mergeCell ref="A13:T13"/>
    <mergeCell ref="A18:T18"/>
    <mergeCell ref="A22:T22"/>
    <mergeCell ref="A27:T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9" min="2" style="1" width="11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39" t="s">
        <v>418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customFormat="false" ht="13.5" hidden="false" customHeight="true" outlineLevel="0" collapsed="false">
      <c r="A2" s="3" t="s">
        <v>419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6.5" hidden="false" customHeight="true" outlineLevel="0" collapsed="false">
      <c r="A4" s="6" t="s">
        <v>420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customFormat="false" ht="15" hidden="false" customHeight="true" outlineLevel="0" collapsed="false">
      <c r="A5" s="90" t="s">
        <v>421</v>
      </c>
      <c r="B5" s="123" t="n">
        <v>0</v>
      </c>
      <c r="C5" s="91" t="n">
        <v>196</v>
      </c>
      <c r="D5" s="91" t="n">
        <v>353</v>
      </c>
      <c r="E5" s="91" t="n">
        <v>876</v>
      </c>
      <c r="F5" s="91" t="n">
        <v>1599</v>
      </c>
      <c r="G5" s="91" t="n">
        <v>2321</v>
      </c>
      <c r="H5" s="91" t="n">
        <v>3181</v>
      </c>
      <c r="I5" s="91" t="n">
        <v>4052</v>
      </c>
      <c r="J5" s="91" t="n">
        <v>5081</v>
      </c>
      <c r="K5" s="91" t="n">
        <v>6011</v>
      </c>
      <c r="L5" s="91" t="n">
        <v>7060</v>
      </c>
      <c r="M5" s="91" t="n">
        <v>8288</v>
      </c>
      <c r="N5" s="91" t="n">
        <v>9615</v>
      </c>
      <c r="O5" s="91" t="n">
        <v>11042</v>
      </c>
      <c r="P5" s="91" t="n">
        <v>12750</v>
      </c>
      <c r="Q5" s="91" t="n">
        <v>14237</v>
      </c>
      <c r="R5" s="91" t="n">
        <v>15425</v>
      </c>
      <c r="S5" s="91" t="n">
        <v>17213</v>
      </c>
      <c r="T5" s="72" t="n">
        <f aca="false">SUM(B5:S5)</f>
        <v>119300</v>
      </c>
    </row>
    <row r="6" customFormat="false" ht="15" hidden="false" customHeight="true" outlineLevel="0" collapsed="false">
      <c r="A6" s="41" t="s">
        <v>422</v>
      </c>
      <c r="B6" s="55" t="n">
        <v>196</v>
      </c>
      <c r="C6" s="55" t="n">
        <v>151</v>
      </c>
      <c r="D6" s="55" t="n">
        <v>404</v>
      </c>
      <c r="E6" s="55" t="n">
        <v>505</v>
      </c>
      <c r="F6" s="55" t="n">
        <v>625</v>
      </c>
      <c r="G6" s="55" t="n">
        <v>748</v>
      </c>
      <c r="H6" s="55" t="n">
        <v>772</v>
      </c>
      <c r="I6" s="55" t="n">
        <v>897</v>
      </c>
      <c r="J6" s="55" t="n">
        <v>902</v>
      </c>
      <c r="K6" s="55" t="n">
        <v>921</v>
      </c>
      <c r="L6" s="55" t="n">
        <v>1140</v>
      </c>
      <c r="M6" s="55" t="n">
        <v>1162</v>
      </c>
      <c r="N6" s="55" t="n">
        <v>1191</v>
      </c>
      <c r="O6" s="55" t="n">
        <v>1034</v>
      </c>
      <c r="P6" s="55" t="n">
        <v>1177</v>
      </c>
      <c r="Q6" s="55" t="n">
        <v>1177</v>
      </c>
      <c r="R6" s="55" t="n">
        <v>991</v>
      </c>
      <c r="S6" s="55" t="n">
        <v>1129</v>
      </c>
      <c r="T6" s="72" t="n">
        <f aca="false">SUM(B6:S6)</f>
        <v>15122</v>
      </c>
    </row>
    <row r="7" customFormat="false" ht="15" hidden="false" customHeight="true" outlineLevel="0" collapsed="false">
      <c r="A7" s="41" t="s">
        <v>423</v>
      </c>
      <c r="B7" s="55" t="n">
        <v>6</v>
      </c>
      <c r="C7" s="55" t="n">
        <v>11</v>
      </c>
      <c r="D7" s="55" t="n">
        <v>26</v>
      </c>
      <c r="E7" s="55" t="n">
        <v>48</v>
      </c>
      <c r="F7" s="55" t="n">
        <v>70</v>
      </c>
      <c r="G7" s="55" t="n">
        <v>95</v>
      </c>
      <c r="H7" s="55" t="n">
        <v>122</v>
      </c>
      <c r="I7" s="55" t="n">
        <v>152</v>
      </c>
      <c r="J7" s="55" t="n">
        <v>180</v>
      </c>
      <c r="K7" s="55" t="n">
        <v>212</v>
      </c>
      <c r="L7" s="55" t="n">
        <v>249</v>
      </c>
      <c r="M7" s="55" t="n">
        <v>288</v>
      </c>
      <c r="N7" s="55" t="n">
        <v>331</v>
      </c>
      <c r="O7" s="55" t="n">
        <v>382</v>
      </c>
      <c r="P7" s="55" t="n">
        <v>427</v>
      </c>
      <c r="Q7" s="55" t="n">
        <v>463</v>
      </c>
      <c r="R7" s="55" t="n">
        <v>516</v>
      </c>
      <c r="S7" s="55" t="n">
        <v>557</v>
      </c>
      <c r="T7" s="72" t="n">
        <f aca="false">SUM(B7:S7)</f>
        <v>4135</v>
      </c>
    </row>
    <row r="8" customFormat="false" ht="15" hidden="false" customHeight="true" outlineLevel="0" collapsed="false">
      <c r="A8" s="41" t="s">
        <v>424</v>
      </c>
      <c r="B8" s="55" t="n">
        <v>8</v>
      </c>
      <c r="C8" s="55" t="n">
        <v>14</v>
      </c>
      <c r="D8" s="55" t="n">
        <v>35</v>
      </c>
      <c r="E8" s="55" t="n">
        <v>64</v>
      </c>
      <c r="F8" s="55" t="n">
        <v>93</v>
      </c>
      <c r="G8" s="55" t="n">
        <v>127</v>
      </c>
      <c r="H8" s="55" t="n">
        <v>81</v>
      </c>
      <c r="I8" s="55" t="n">
        <v>102</v>
      </c>
      <c r="J8" s="55" t="n">
        <v>120</v>
      </c>
      <c r="K8" s="55" t="n">
        <v>141</v>
      </c>
      <c r="L8" s="55" t="n">
        <v>166</v>
      </c>
      <c r="M8" s="55" t="n">
        <v>192</v>
      </c>
      <c r="N8" s="55" t="n">
        <v>221</v>
      </c>
      <c r="O8" s="55" t="n">
        <v>255</v>
      </c>
      <c r="P8" s="55" t="n">
        <v>285</v>
      </c>
      <c r="Q8" s="55" t="n">
        <v>308</v>
      </c>
      <c r="R8" s="55" t="n">
        <v>344</v>
      </c>
      <c r="S8" s="55" t="n">
        <v>371</v>
      </c>
      <c r="T8" s="72" t="n">
        <f aca="false">SUM(B8:S8)</f>
        <v>2927</v>
      </c>
    </row>
    <row r="9" customFormat="false" ht="15" hidden="false" customHeight="true" outlineLevel="0" collapsed="false">
      <c r="A9" s="41" t="s">
        <v>425</v>
      </c>
      <c r="B9" s="55" t="n">
        <v>1</v>
      </c>
      <c r="C9" s="55" t="n">
        <v>2</v>
      </c>
      <c r="D9" s="55" t="n">
        <v>4</v>
      </c>
      <c r="E9" s="55" t="n">
        <v>8</v>
      </c>
      <c r="F9" s="55" t="n">
        <v>12</v>
      </c>
      <c r="G9" s="55" t="n">
        <v>16</v>
      </c>
      <c r="H9" s="55" t="n">
        <v>20</v>
      </c>
      <c r="I9" s="55" t="n">
        <v>25</v>
      </c>
      <c r="J9" s="55" t="n">
        <v>30</v>
      </c>
      <c r="K9" s="55" t="n">
        <v>35</v>
      </c>
      <c r="L9" s="55" t="n">
        <v>41</v>
      </c>
      <c r="M9" s="55" t="n">
        <v>48</v>
      </c>
      <c r="N9" s="55" t="n">
        <v>55</v>
      </c>
      <c r="O9" s="55" t="n">
        <v>64</v>
      </c>
      <c r="P9" s="55" t="n">
        <v>71</v>
      </c>
      <c r="Q9" s="55" t="n">
        <v>77</v>
      </c>
      <c r="R9" s="55" t="n">
        <v>86</v>
      </c>
      <c r="S9" s="55" t="n">
        <v>93</v>
      </c>
      <c r="T9" s="72" t="n">
        <f aca="false">SUM(B9:S9)</f>
        <v>688</v>
      </c>
    </row>
    <row r="10" customFormat="false" ht="19.5" hidden="false" customHeight="true" outlineLevel="0" collapsed="false">
      <c r="A10" s="45" t="s">
        <v>426</v>
      </c>
      <c r="B10" s="46" t="n">
        <f aca="false">B6+B7-B8-B9</f>
        <v>193</v>
      </c>
      <c r="C10" s="46" t="n">
        <f aca="false">C6+C7-C8-C9</f>
        <v>146</v>
      </c>
      <c r="D10" s="46" t="n">
        <f aca="false">D6+D7-D8-D9</f>
        <v>391</v>
      </c>
      <c r="E10" s="46" t="n">
        <f aca="false">E6+E7-E8-E9</f>
        <v>481</v>
      </c>
      <c r="F10" s="46" t="n">
        <f aca="false">F6+F7-F8-F9</f>
        <v>590</v>
      </c>
      <c r="G10" s="46" t="n">
        <f aca="false">G6+G7-G8-G9</f>
        <v>700</v>
      </c>
      <c r="H10" s="46" t="n">
        <f aca="false">H6+H7-H8-H9</f>
        <v>793</v>
      </c>
      <c r="I10" s="46" t="n">
        <f aca="false">I6+I7-I8-I9</f>
        <v>922</v>
      </c>
      <c r="J10" s="46" t="n">
        <f aca="false">J6+J7-J8-J9</f>
        <v>932</v>
      </c>
      <c r="K10" s="46" t="n">
        <f aca="false">K6+K7-K8-K9</f>
        <v>957</v>
      </c>
      <c r="L10" s="46" t="n">
        <f aca="false">L6+L7-L8-L9</f>
        <v>1182</v>
      </c>
      <c r="M10" s="46" t="n">
        <f aca="false">M6+M7-M8-M9</f>
        <v>1210</v>
      </c>
      <c r="N10" s="46" t="n">
        <f aca="false">N6+N7-N8-N9</f>
        <v>1246</v>
      </c>
      <c r="O10" s="46" t="n">
        <f aca="false">O6+O7-O8-O9</f>
        <v>1097</v>
      </c>
      <c r="P10" s="46" t="n">
        <f aca="false">P6+P7-P8-P9</f>
        <v>1248</v>
      </c>
      <c r="Q10" s="46" t="n">
        <f aca="false">Q6+Q7-Q8-Q9</f>
        <v>1255</v>
      </c>
      <c r="R10" s="46" t="n">
        <f aca="false">R6+R7-R8-R9</f>
        <v>1077</v>
      </c>
      <c r="S10" s="46" t="n">
        <f aca="false">S6+S7-S8-S9</f>
        <v>1222</v>
      </c>
      <c r="T10" s="46" t="n">
        <f aca="false">SUM(B10:S10)</f>
        <v>15642</v>
      </c>
    </row>
    <row r="11" customFormat="false" ht="4.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customFormat="false" ht="18.75" hidden="false" customHeight="true" outlineLevel="0" collapsed="false">
      <c r="A12" s="124" t="s">
        <v>427</v>
      </c>
      <c r="B12" s="46" t="n">
        <f aca="false">B5+B10</f>
        <v>193</v>
      </c>
      <c r="C12" s="46" t="n">
        <f aca="false">C5+C10</f>
        <v>342</v>
      </c>
      <c r="D12" s="46" t="n">
        <f aca="false">D5+D10</f>
        <v>744</v>
      </c>
      <c r="E12" s="46" t="n">
        <f aca="false">E5+E10</f>
        <v>1357</v>
      </c>
      <c r="F12" s="46" t="n">
        <f aca="false">F5+F10</f>
        <v>2189</v>
      </c>
      <c r="G12" s="46" t="n">
        <f aca="false">G5+G10</f>
        <v>3021</v>
      </c>
      <c r="H12" s="46" t="n">
        <f aca="false">H5+H10</f>
        <v>3974</v>
      </c>
      <c r="I12" s="46" t="n">
        <f aca="false">I5+I10</f>
        <v>4974</v>
      </c>
      <c r="J12" s="46" t="n">
        <f aca="false">J5+J10</f>
        <v>6013</v>
      </c>
      <c r="K12" s="46" t="n">
        <f aca="false">K5+K10</f>
        <v>6968</v>
      </c>
      <c r="L12" s="46" t="n">
        <f aca="false">L5+L10</f>
        <v>8242</v>
      </c>
      <c r="M12" s="46" t="n">
        <f aca="false">M5+M10</f>
        <v>9498</v>
      </c>
      <c r="N12" s="46" t="n">
        <f aca="false">N5+N10</f>
        <v>10861</v>
      </c>
      <c r="O12" s="46" t="n">
        <f aca="false">O5+O10</f>
        <v>12139</v>
      </c>
      <c r="P12" s="46" t="n">
        <f aca="false">P5+P10</f>
        <v>13998</v>
      </c>
      <c r="Q12" s="46" t="n">
        <f aca="false">Q5+Q10</f>
        <v>15492</v>
      </c>
      <c r="R12" s="46" t="n">
        <f aca="false">R5+R10</f>
        <v>16502</v>
      </c>
      <c r="S12" s="46" t="n">
        <f aca="false">S5+S10</f>
        <v>18435</v>
      </c>
      <c r="T12" s="125" t="n">
        <f aca="false">SUM(B12:S12)</f>
        <v>134942</v>
      </c>
    </row>
    <row r="13" customFormat="false" ht="15" hidden="false" customHeight="true" outlineLevel="0" collapsed="false">
      <c r="A13" s="90" t="s">
        <v>428</v>
      </c>
      <c r="B13" s="126" t="str">
        <f aca="false">IF(ABS(B12-'A — Ricavi'!B31)&gt;50,"⚠ CHECK","✓ OK")</f>
        <v>⚠ CHECK</v>
      </c>
      <c r="C13" s="126" t="str">
        <f aca="false">IF(ABS(C12-'A — Ricavi'!C31)&gt;50,"⚠ CHECK","✓ OK")</f>
        <v>⚠ CHECK</v>
      </c>
      <c r="D13" s="126" t="str">
        <f aca="false">IF(ABS(D12-'A — Ricavi'!D31)&gt;50,"⚠ CHECK","✓ OK")</f>
        <v>⚠ CHECK</v>
      </c>
      <c r="E13" s="126" t="str">
        <f aca="false">IF(ABS(E12-'A — Ricavi'!E31)&gt;50,"⚠ CHECK","✓ OK")</f>
        <v>⚠ CHECK</v>
      </c>
      <c r="F13" s="126" t="str">
        <f aca="false">IF(ABS(F12-'A — Ricavi'!F31)&gt;50,"⚠ CHECK","✓ OK")</f>
        <v>⚠ CHECK</v>
      </c>
      <c r="G13" s="126" t="str">
        <f aca="false">IF(ABS(G12-'A — Ricavi'!G31)&gt;50,"⚠ CHECK","✓ OK")</f>
        <v>⚠ CHECK</v>
      </c>
      <c r="H13" s="126" t="str">
        <f aca="false">IF(ABS(H12-'A — Ricavi'!H31)&gt;50,"⚠ CHECK","✓ OK")</f>
        <v>⚠ CHECK</v>
      </c>
      <c r="I13" s="126" t="str">
        <f aca="false">IF(ABS(I12-'A — Ricavi'!I31)&gt;50,"⚠ CHECK","✓ OK")</f>
        <v>⚠ CHECK</v>
      </c>
      <c r="J13" s="126" t="str">
        <f aca="false">IF(ABS(J12-'A — Ricavi'!J31)&gt;50,"⚠ CHECK","✓ OK")</f>
        <v>⚠ CHECK</v>
      </c>
      <c r="K13" s="126" t="str">
        <f aca="false">IF(ABS(K12-'A — Ricavi'!K31)&gt;50,"⚠ CHECK","✓ OK")</f>
        <v>⚠ CHECK</v>
      </c>
      <c r="L13" s="126" t="str">
        <f aca="false">IF(ABS(L12-'A — Ricavi'!L31)&gt;50,"⚠ CHECK","✓ OK")</f>
        <v>⚠ CHECK</v>
      </c>
      <c r="M13" s="126" t="str">
        <f aca="false">IF(ABS(M12-'A — Ricavi'!M31)&gt;50,"⚠ CHECK","✓ OK")</f>
        <v>⚠ CHECK</v>
      </c>
      <c r="N13" s="126" t="str">
        <f aca="false">IF(ABS(N12-'A — Ricavi'!N31)&gt;50,"⚠ CHECK","✓ OK")</f>
        <v>⚠ CHECK</v>
      </c>
      <c r="O13" s="126" t="str">
        <f aca="false">IF(ABS(O12-'A — Ricavi'!O31)&gt;50,"⚠ CHECK","✓ OK")</f>
        <v>⚠ CHECK</v>
      </c>
      <c r="P13" s="126" t="str">
        <f aca="false">IF(ABS(P12-'A — Ricavi'!P31)&gt;50,"⚠ CHECK","✓ OK")</f>
        <v>⚠ CHECK</v>
      </c>
      <c r="Q13" s="126" t="str">
        <f aca="false">IF(ABS(Q12-'A — Ricavi'!Q31)&gt;50,"⚠ CHECK","✓ OK")</f>
        <v>⚠ CHECK</v>
      </c>
      <c r="R13" s="126" t="str">
        <f aca="false">IF(ABS(R12-'A — Ricavi'!R31)&gt;50,"⚠ CHECK","✓ OK")</f>
        <v>⚠ CHECK</v>
      </c>
      <c r="S13" s="126" t="str">
        <f aca="false">IF(ABS(S12-'A — Ricavi'!S31)&gt;50,"⚠ CHECK","✓ OK")</f>
        <v>⚠ CHECK</v>
      </c>
      <c r="T13" s="127" t="s">
        <v>429</v>
      </c>
    </row>
    <row r="14" customFormat="false" ht="4.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customFormat="false" ht="16.5" hidden="false" customHeight="true" outlineLevel="0" collapsed="false">
      <c r="A15" s="6" t="s">
        <v>430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customFormat="false" ht="15" hidden="false" customHeight="true" outlineLevel="0" collapsed="false">
      <c r="A16" s="41" t="s">
        <v>431</v>
      </c>
      <c r="B16" s="119" t="n">
        <f aca="false">IF(B5&gt;0,B12/B5,0)</f>
        <v>0</v>
      </c>
      <c r="C16" s="119" t="n">
        <f aca="false">IF(C5&gt;0,C12/C5,0)</f>
        <v>1.74489795918367</v>
      </c>
      <c r="D16" s="119" t="n">
        <f aca="false">IF(D5&gt;0,D12/D5,0)</f>
        <v>2.10764872521246</v>
      </c>
      <c r="E16" s="119" t="n">
        <f aca="false">IF(E5&gt;0,E12/E5,0)</f>
        <v>1.54908675799087</v>
      </c>
      <c r="F16" s="119" t="n">
        <f aca="false">IF(F5&gt;0,F12/F5,0)</f>
        <v>1.36898061288305</v>
      </c>
      <c r="G16" s="119" t="n">
        <f aca="false">IF(G5&gt;0,G12/G5,0)</f>
        <v>1.3015941404567</v>
      </c>
      <c r="H16" s="119" t="n">
        <f aca="false">IF(H5&gt;0,H12/H5,0)</f>
        <v>1.24929267525935</v>
      </c>
      <c r="I16" s="119" t="n">
        <f aca="false">IF(I5&gt;0,I12/I5,0)</f>
        <v>1.22754195459033</v>
      </c>
      <c r="J16" s="119" t="n">
        <f aca="false">IF(J5&gt;0,J12/J5,0)</f>
        <v>1.18342845896477</v>
      </c>
      <c r="K16" s="119" t="n">
        <f aca="false">IF(K5&gt;0,K12/K5,0)</f>
        <v>1.15920811844951</v>
      </c>
      <c r="L16" s="119" t="n">
        <f aca="false">IF(L5&gt;0,L12/L5,0)</f>
        <v>1.16742209631728</v>
      </c>
      <c r="M16" s="119" t="n">
        <f aca="false">IF(M5&gt;0,M12/M5,0)</f>
        <v>1.14599420849421</v>
      </c>
      <c r="N16" s="119" t="n">
        <f aca="false">IF(N5&gt;0,N12/N5,0)</f>
        <v>1.12958918356734</v>
      </c>
      <c r="O16" s="119" t="n">
        <f aca="false">IF(O5&gt;0,O12/O5,0)</f>
        <v>1.09934794421301</v>
      </c>
      <c r="P16" s="119" t="n">
        <f aca="false">IF(P5&gt;0,P12/P5,0)</f>
        <v>1.09788235294118</v>
      </c>
      <c r="Q16" s="119" t="n">
        <f aca="false">IF(Q5&gt;0,Q12/Q5,0)</f>
        <v>1.08815059352392</v>
      </c>
      <c r="R16" s="119" t="n">
        <f aca="false">IF(R5&gt;0,R12/R5,0)</f>
        <v>1.06982171799028</v>
      </c>
      <c r="S16" s="119" t="n">
        <f aca="false">IF(S5&gt;0,S12/S5,0)</f>
        <v>1.07099285423808</v>
      </c>
      <c r="T16" s="120" t="n">
        <f aca="false">AVERAGE(B16:S16)</f>
        <v>1.20893779745978</v>
      </c>
    </row>
    <row r="17" customFormat="false" ht="15" hidden="false" customHeight="true" outlineLevel="0" collapsed="false">
      <c r="A17" s="128" t="s">
        <v>432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128"/>
    </row>
    <row r="18" customFormat="false" ht="4.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</row>
    <row r="19" customFormat="false" ht="16.5" hidden="false" customHeight="true" outlineLevel="0" collapsed="false">
      <c r="A19" s="6" t="s">
        <v>433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customFormat="false" ht="18" hidden="false" customHeight="true" outlineLevel="0" collapsed="false">
      <c r="A20" s="129" t="s">
        <v>434</v>
      </c>
      <c r="B20" s="19" t="n">
        <f aca="false">B12*12</f>
        <v>2316</v>
      </c>
      <c r="C20" s="19" t="n">
        <f aca="false">C12*12</f>
        <v>4104</v>
      </c>
      <c r="D20" s="19" t="n">
        <f aca="false">D12*12</f>
        <v>8928</v>
      </c>
      <c r="E20" s="19" t="n">
        <f aca="false">E12*12</f>
        <v>16284</v>
      </c>
      <c r="F20" s="19" t="n">
        <f aca="false">F12*12</f>
        <v>26268</v>
      </c>
      <c r="G20" s="19" t="n">
        <f aca="false">G12*12</f>
        <v>36252</v>
      </c>
      <c r="H20" s="19" t="n">
        <f aca="false">H12*12</f>
        <v>47688</v>
      </c>
      <c r="I20" s="19" t="n">
        <f aca="false">I12*12</f>
        <v>59688</v>
      </c>
      <c r="J20" s="19" t="n">
        <f aca="false">J12*12</f>
        <v>72156</v>
      </c>
      <c r="K20" s="19" t="n">
        <f aca="false">K12*12</f>
        <v>83616</v>
      </c>
      <c r="L20" s="19" t="n">
        <f aca="false">L12*12</f>
        <v>98904</v>
      </c>
      <c r="M20" s="19" t="n">
        <f aca="false">M12*12</f>
        <v>113976</v>
      </c>
      <c r="N20" s="19" t="n">
        <f aca="false">N12*12</f>
        <v>130332</v>
      </c>
      <c r="O20" s="19" t="n">
        <f aca="false">O12*12</f>
        <v>145668</v>
      </c>
      <c r="P20" s="19" t="n">
        <f aca="false">P12*12</f>
        <v>167976</v>
      </c>
      <c r="Q20" s="19" t="n">
        <f aca="false">Q12*12</f>
        <v>185904</v>
      </c>
      <c r="R20" s="19" t="n">
        <f aca="false">R12*12</f>
        <v>198024</v>
      </c>
      <c r="S20" s="19" t="n">
        <f aca="false">S12*12</f>
        <v>221220</v>
      </c>
      <c r="T20" s="130" t="n">
        <f aca="false">SUM(B20:S20)</f>
        <v>1619304</v>
      </c>
    </row>
    <row r="21" customFormat="false" ht="15" hidden="false" customHeight="true" outlineLevel="0" collapsed="false">
      <c r="A21" s="90" t="s">
        <v>435</v>
      </c>
      <c r="B21" s="93" t="n">
        <f aca="false">IF(B5&gt;0,(B12-B5)/B5,0)</f>
        <v>0</v>
      </c>
      <c r="C21" s="93" t="n">
        <f aca="false">IF(C5&gt;0,(C12-C5)/C5,0)</f>
        <v>0.744897959183674</v>
      </c>
      <c r="D21" s="93" t="n">
        <f aca="false">IF(D5&gt;0,(D12-D5)/D5,0)</f>
        <v>1.10764872521246</v>
      </c>
      <c r="E21" s="93" t="n">
        <f aca="false">IF(E5&gt;0,(E12-E5)/E5,0)</f>
        <v>0.549086757990868</v>
      </c>
      <c r="F21" s="93" t="n">
        <f aca="false">IF(F5&gt;0,(F12-F5)/F5,0)</f>
        <v>0.368980612883052</v>
      </c>
      <c r="G21" s="93" t="n">
        <f aca="false">IF(G5&gt;0,(G12-G5)/G5,0)</f>
        <v>0.3015941404567</v>
      </c>
      <c r="H21" s="93" t="n">
        <f aca="false">IF(H5&gt;0,(H12-H5)/H5,0)</f>
        <v>0.249292675259352</v>
      </c>
      <c r="I21" s="93" t="n">
        <f aca="false">IF(I5&gt;0,(I12-I5)/I5,0)</f>
        <v>0.227541954590326</v>
      </c>
      <c r="J21" s="93" t="n">
        <f aca="false">IF(J5&gt;0,(J12-J5)/J5,0)</f>
        <v>0.183428458964771</v>
      </c>
      <c r="K21" s="93" t="n">
        <f aca="false">IF(K5&gt;0,(K12-K5)/K5,0)</f>
        <v>0.159208118449509</v>
      </c>
      <c r="L21" s="93" t="n">
        <f aca="false">IF(L5&gt;0,(L12-L5)/L5,0)</f>
        <v>0.16742209631728</v>
      </c>
      <c r="M21" s="93" t="n">
        <f aca="false">IF(M5&gt;0,(M12-M5)/M5,0)</f>
        <v>0.145994208494209</v>
      </c>
      <c r="N21" s="93" t="n">
        <f aca="false">IF(N5&gt;0,(N12-N5)/N5,0)</f>
        <v>0.129589183567343</v>
      </c>
      <c r="O21" s="93" t="n">
        <f aca="false">IF(O5&gt;0,(O12-O5)/O5,0)</f>
        <v>0.0993479442130049</v>
      </c>
      <c r="P21" s="93" t="n">
        <f aca="false">IF(P5&gt;0,(P12-P5)/P5,0)</f>
        <v>0.0978823529411765</v>
      </c>
      <c r="Q21" s="93" t="n">
        <f aca="false">IF(Q5&gt;0,(Q12-Q5)/Q5,0)</f>
        <v>0.0881505935239166</v>
      </c>
      <c r="R21" s="93" t="n">
        <f aca="false">IF(R5&gt;0,(R12-R5)/R5,0)</f>
        <v>0.0698217179902755</v>
      </c>
      <c r="S21" s="93" t="n">
        <f aca="false">IF(S5&gt;0,(S12-S5)/S5,0)</f>
        <v>0.0709928542380759</v>
      </c>
      <c r="T21" s="120" t="n">
        <f aca="false">AVERAGE(B21:S21)</f>
        <v>0.264493353015333</v>
      </c>
    </row>
    <row r="22" customFormat="false" ht="4.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customFormat="false" ht="16.5" hidden="false" customHeight="true" outlineLevel="0" collapsed="false">
      <c r="A23" s="6" t="s">
        <v>436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customFormat="false" ht="15" hidden="false" customHeight="true" outlineLevel="0" collapsed="false">
      <c r="A24" s="41" t="s">
        <v>437</v>
      </c>
      <c r="B24" s="47" t="n">
        <v>1</v>
      </c>
      <c r="C24" s="47" t="n">
        <v>0.96</v>
      </c>
      <c r="D24" s="47" t="n">
        <v>0.9216</v>
      </c>
      <c r="E24" s="47" t="n">
        <v>0.8847</v>
      </c>
      <c r="F24" s="47" t="n">
        <v>0.8493</v>
      </c>
      <c r="G24" s="47" t="n">
        <v>0.8154</v>
      </c>
      <c r="H24" s="47" t="n">
        <v>0.7828</v>
      </c>
      <c r="I24" s="47" t="n">
        <v>0.7514</v>
      </c>
      <c r="J24" s="47" t="n">
        <v>0.7214</v>
      </c>
      <c r="K24" s="47" t="n">
        <v>0.6925</v>
      </c>
      <c r="L24" s="47" t="n">
        <v>0.6648</v>
      </c>
      <c r="M24" s="47" t="n">
        <v>0.6382</v>
      </c>
      <c r="N24" s="47" t="n">
        <v>0.6127</v>
      </c>
      <c r="O24" s="47" t="n">
        <v>0.5882</v>
      </c>
      <c r="P24" s="47" t="n">
        <v>0.5647</v>
      </c>
      <c r="Q24" s="47" t="n">
        <v>0.5421</v>
      </c>
      <c r="R24" s="47" t="n">
        <v>0.5204</v>
      </c>
      <c r="S24" s="47" t="n">
        <v>0.4996</v>
      </c>
      <c r="T24" s="120" t="n">
        <f aca="false">AVERAGE(B24:S24)</f>
        <v>0.722766666666667</v>
      </c>
    </row>
    <row r="25" customFormat="false" ht="15" hidden="false" customHeight="true" outlineLevel="0" collapsed="false">
      <c r="A25" s="41" t="s">
        <v>438</v>
      </c>
      <c r="B25" s="47"/>
      <c r="C25" s="47" t="n">
        <v>1</v>
      </c>
      <c r="D25" s="47" t="n">
        <v>0.96</v>
      </c>
      <c r="E25" s="47" t="n">
        <v>0.9216</v>
      </c>
      <c r="F25" s="47" t="n">
        <v>0.8847</v>
      </c>
      <c r="G25" s="47" t="n">
        <v>0.8493</v>
      </c>
      <c r="H25" s="47" t="n">
        <v>0.8154</v>
      </c>
      <c r="I25" s="47" t="n">
        <v>0.7828</v>
      </c>
      <c r="J25" s="47" t="n">
        <v>0.7514</v>
      </c>
      <c r="K25" s="47" t="n">
        <v>0.7214</v>
      </c>
      <c r="L25" s="47" t="n">
        <v>0.6925</v>
      </c>
      <c r="M25" s="47" t="n">
        <v>0.6648</v>
      </c>
      <c r="N25" s="47" t="n">
        <v>0.6382</v>
      </c>
      <c r="O25" s="47" t="n">
        <v>0.6127</v>
      </c>
      <c r="P25" s="47" t="n">
        <v>0.5882</v>
      </c>
      <c r="Q25" s="47" t="n">
        <v>0.5647</v>
      </c>
      <c r="R25" s="47" t="n">
        <v>0.5421</v>
      </c>
      <c r="S25" s="47" t="n">
        <v>0.5204</v>
      </c>
      <c r="T25" s="120" t="n">
        <f aca="false">AVERAGE(B25:S25)</f>
        <v>0.735894117647059</v>
      </c>
    </row>
    <row r="26" customFormat="false" ht="15" hidden="false" customHeight="true" outlineLevel="0" collapsed="false">
      <c r="A26" s="41" t="s">
        <v>439</v>
      </c>
      <c r="B26" s="47"/>
      <c r="C26" s="47"/>
      <c r="D26" s="47" t="n">
        <v>1</v>
      </c>
      <c r="E26" s="47" t="n">
        <v>0.96</v>
      </c>
      <c r="F26" s="47" t="n">
        <v>0.9216</v>
      </c>
      <c r="G26" s="47" t="n">
        <v>0.8847</v>
      </c>
      <c r="H26" s="47" t="n">
        <v>0.8493</v>
      </c>
      <c r="I26" s="47" t="n">
        <v>0.8154</v>
      </c>
      <c r="J26" s="47" t="n">
        <v>0.7828</v>
      </c>
      <c r="K26" s="47" t="n">
        <v>0.7514</v>
      </c>
      <c r="L26" s="47" t="n">
        <v>0.7214</v>
      </c>
      <c r="M26" s="47" t="n">
        <v>0.6925</v>
      </c>
      <c r="N26" s="47" t="n">
        <v>0.6648</v>
      </c>
      <c r="O26" s="47" t="n">
        <v>0.6382</v>
      </c>
      <c r="P26" s="47" t="n">
        <v>0.6127</v>
      </c>
      <c r="Q26" s="47" t="n">
        <v>0.5882</v>
      </c>
      <c r="R26" s="47" t="n">
        <v>0.5647</v>
      </c>
      <c r="S26" s="47" t="n">
        <v>0.5421</v>
      </c>
      <c r="T26" s="120" t="n">
        <f aca="false">AVERAGE(B26:S26)</f>
        <v>0.7493625</v>
      </c>
    </row>
    <row r="27" customFormat="false" ht="15" hidden="false" customHeight="true" outlineLevel="0" collapsed="false">
      <c r="A27" s="41" t="s">
        <v>440</v>
      </c>
      <c r="B27" s="47"/>
      <c r="C27" s="47"/>
      <c r="D27" s="47"/>
      <c r="E27" s="47" t="n">
        <v>1</v>
      </c>
      <c r="F27" s="47" t="n">
        <v>0.97</v>
      </c>
      <c r="G27" s="47" t="n">
        <v>0.9409</v>
      </c>
      <c r="H27" s="47" t="n">
        <v>0.9127</v>
      </c>
      <c r="I27" s="47" t="n">
        <v>0.8853</v>
      </c>
      <c r="J27" s="47" t="n">
        <v>0.8587</v>
      </c>
      <c r="K27" s="47" t="n">
        <v>0.833</v>
      </c>
      <c r="L27" s="47" t="n">
        <v>0.808</v>
      </c>
      <c r="M27" s="47" t="n">
        <v>0.7837</v>
      </c>
      <c r="N27" s="47" t="n">
        <v>0.7602</v>
      </c>
      <c r="O27" s="47" t="n">
        <v>0.7374</v>
      </c>
      <c r="P27" s="47" t="n">
        <v>0.7153</v>
      </c>
      <c r="Q27" s="47" t="n">
        <v>0.6938</v>
      </c>
      <c r="R27" s="47" t="n">
        <v>0.673</v>
      </c>
      <c r="S27" s="47" t="n">
        <v>0.6528</v>
      </c>
      <c r="T27" s="120" t="n">
        <f aca="false">AVERAGE(B27:S27)</f>
        <v>0.814986666666667</v>
      </c>
    </row>
    <row r="28" customFormat="false" ht="15" hidden="false" customHeight="true" outlineLevel="0" collapsed="false">
      <c r="A28" s="41" t="s">
        <v>441</v>
      </c>
      <c r="B28" s="47"/>
      <c r="C28" s="47"/>
      <c r="D28" s="47"/>
      <c r="E28" s="47"/>
      <c r="F28" s="47" t="n">
        <v>1</v>
      </c>
      <c r="G28" s="47" t="n">
        <v>0.97</v>
      </c>
      <c r="H28" s="47" t="n">
        <v>0.9409</v>
      </c>
      <c r="I28" s="47" t="n">
        <v>0.9127</v>
      </c>
      <c r="J28" s="47" t="n">
        <v>0.8853</v>
      </c>
      <c r="K28" s="47" t="n">
        <v>0.8587</v>
      </c>
      <c r="L28" s="47" t="n">
        <v>0.833</v>
      </c>
      <c r="M28" s="47" t="n">
        <v>0.808</v>
      </c>
      <c r="N28" s="47" t="n">
        <v>0.7837</v>
      </c>
      <c r="O28" s="47" t="n">
        <v>0.7602</v>
      </c>
      <c r="P28" s="47" t="n">
        <v>0.7374</v>
      </c>
      <c r="Q28" s="47" t="n">
        <v>0.7153</v>
      </c>
      <c r="R28" s="47" t="n">
        <v>0.6938</v>
      </c>
      <c r="S28" s="47" t="n">
        <v>0.673</v>
      </c>
      <c r="T28" s="120" t="n">
        <f aca="false">AVERAGE(B28:S28)</f>
        <v>0.826571428571429</v>
      </c>
    </row>
    <row r="29" customFormat="false" ht="15" hidden="false" customHeight="true" outlineLevel="0" collapsed="false">
      <c r="A29" s="41" t="s">
        <v>442</v>
      </c>
      <c r="B29" s="47"/>
      <c r="C29" s="47"/>
      <c r="D29" s="47"/>
      <c r="E29" s="47"/>
      <c r="F29" s="47"/>
      <c r="G29" s="47" t="n">
        <v>1</v>
      </c>
      <c r="H29" s="47" t="n">
        <v>0.97</v>
      </c>
      <c r="I29" s="47" t="n">
        <v>0.9409</v>
      </c>
      <c r="J29" s="47" t="n">
        <v>0.9127</v>
      </c>
      <c r="K29" s="47" t="n">
        <v>0.8853</v>
      </c>
      <c r="L29" s="47" t="n">
        <v>0.8587</v>
      </c>
      <c r="M29" s="47" t="n">
        <v>0.833</v>
      </c>
      <c r="N29" s="47" t="n">
        <v>0.808</v>
      </c>
      <c r="O29" s="47" t="n">
        <v>0.7837</v>
      </c>
      <c r="P29" s="47" t="n">
        <v>0.7602</v>
      </c>
      <c r="Q29" s="47" t="n">
        <v>0.7374</v>
      </c>
      <c r="R29" s="47" t="n">
        <v>0.7153</v>
      </c>
      <c r="S29" s="47" t="n">
        <v>0.6938</v>
      </c>
      <c r="T29" s="120" t="n">
        <f aca="false">AVERAGE(B29:S29)</f>
        <v>0.838384615384615</v>
      </c>
    </row>
    <row r="30" customFormat="false" ht="15" hidden="false" customHeight="true" outlineLevel="0" collapsed="false">
      <c r="A30" s="128" t="s">
        <v>443</v>
      </c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  <c r="R30" s="128"/>
      <c r="S30" s="128"/>
      <c r="T30" s="128"/>
    </row>
  </sheetData>
  <mergeCells count="12">
    <mergeCell ref="A1:T1"/>
    <mergeCell ref="A2:T2"/>
    <mergeCell ref="A4:T4"/>
    <mergeCell ref="A11:T11"/>
    <mergeCell ref="A14:T14"/>
    <mergeCell ref="A15:T15"/>
    <mergeCell ref="A17:T17"/>
    <mergeCell ref="A18:T18"/>
    <mergeCell ref="A19:T19"/>
    <mergeCell ref="A22:T22"/>
    <mergeCell ref="A23:T23"/>
    <mergeCell ref="A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9" min="2" style="1" width="11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99" t="s">
        <v>444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</row>
    <row r="2" customFormat="false" ht="13.5" hidden="false" customHeight="true" outlineLevel="0" collapsed="false">
      <c r="A2" s="3" t="s">
        <v>445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6.5" hidden="false" customHeight="true" outlineLevel="0" collapsed="false">
      <c r="A4" s="131" t="s">
        <v>446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</row>
    <row r="5" customFormat="false" ht="15" hidden="false" customHeight="true" outlineLevel="0" collapsed="false">
      <c r="A5" s="41" t="s">
        <v>447</v>
      </c>
      <c r="B5" s="55" t="n">
        <v>170</v>
      </c>
      <c r="C5" s="55" t="n">
        <v>180</v>
      </c>
      <c r="D5" s="55" t="n">
        <v>220</v>
      </c>
      <c r="E5" s="55" t="n">
        <v>830</v>
      </c>
      <c r="F5" s="55" t="n">
        <v>2110</v>
      </c>
      <c r="G5" s="55" t="n">
        <v>2190</v>
      </c>
      <c r="H5" s="55" t="n">
        <v>2670</v>
      </c>
      <c r="I5" s="55" t="n">
        <v>2750</v>
      </c>
      <c r="J5" s="55" t="n">
        <v>2840</v>
      </c>
      <c r="K5" s="55" t="n">
        <v>2900</v>
      </c>
      <c r="L5" s="55" t="n">
        <v>3090</v>
      </c>
      <c r="M5" s="55" t="n">
        <v>3170</v>
      </c>
      <c r="N5" s="55" t="n">
        <v>3260</v>
      </c>
      <c r="O5" s="55" t="n">
        <v>4040</v>
      </c>
      <c r="P5" s="55" t="n">
        <v>4130</v>
      </c>
      <c r="Q5" s="55" t="n">
        <v>4210</v>
      </c>
      <c r="R5" s="55" t="n">
        <v>4290</v>
      </c>
      <c r="S5" s="55" t="n">
        <v>4370</v>
      </c>
      <c r="T5" s="72" t="n">
        <f aca="false">SUM(B5:S5)</f>
        <v>47420</v>
      </c>
    </row>
    <row r="6" customFormat="false" ht="15" hidden="false" customHeight="true" outlineLevel="0" collapsed="false">
      <c r="A6" s="41" t="s">
        <v>448</v>
      </c>
      <c r="B6" s="42" t="n">
        <v>4</v>
      </c>
      <c r="C6" s="42" t="n">
        <v>3</v>
      </c>
      <c r="D6" s="42" t="n">
        <v>6</v>
      </c>
      <c r="E6" s="42" t="n">
        <v>6</v>
      </c>
      <c r="F6" s="42" t="n">
        <v>7</v>
      </c>
      <c r="G6" s="42" t="n">
        <v>8</v>
      </c>
      <c r="H6" s="42" t="n">
        <v>8</v>
      </c>
      <c r="I6" s="42" t="n">
        <v>9</v>
      </c>
      <c r="J6" s="42" t="n">
        <v>9</v>
      </c>
      <c r="K6" s="42" t="n">
        <v>9</v>
      </c>
      <c r="L6" s="42" t="n">
        <v>11</v>
      </c>
      <c r="M6" s="42" t="n">
        <v>11</v>
      </c>
      <c r="N6" s="42" t="n">
        <v>11</v>
      </c>
      <c r="O6" s="42" t="n">
        <v>9</v>
      </c>
      <c r="P6" s="42" t="n">
        <v>10</v>
      </c>
      <c r="Q6" s="42" t="n">
        <v>10</v>
      </c>
      <c r="R6" s="42" t="n">
        <v>8</v>
      </c>
      <c r="S6" s="42" t="n">
        <v>9</v>
      </c>
      <c r="T6" s="71" t="n">
        <f aca="false">SUM(B6:S6)</f>
        <v>148</v>
      </c>
    </row>
    <row r="7" customFormat="false" ht="18.75" hidden="false" customHeight="true" outlineLevel="0" collapsed="false">
      <c r="A7" s="132" t="s">
        <v>449</v>
      </c>
      <c r="B7" s="104" t="n">
        <f aca="false">IF(B6&gt;0,B5/B6,0)</f>
        <v>42.5</v>
      </c>
      <c r="C7" s="104" t="n">
        <f aca="false">IF(C6&gt;0,C5/C6,0)</f>
        <v>60</v>
      </c>
      <c r="D7" s="104" t="n">
        <f aca="false">IF(D6&gt;0,D5/D6,0)</f>
        <v>36.6666666666667</v>
      </c>
      <c r="E7" s="104" t="n">
        <f aca="false">IF(E6&gt;0,E5/E6,0)</f>
        <v>138.333333333333</v>
      </c>
      <c r="F7" s="104" t="n">
        <f aca="false">IF(F6&gt;0,F5/F6,0)</f>
        <v>301.428571428571</v>
      </c>
      <c r="G7" s="104" t="n">
        <f aca="false">IF(G6&gt;0,G5/G6,0)</f>
        <v>273.75</v>
      </c>
      <c r="H7" s="104" t="n">
        <f aca="false">IF(H6&gt;0,H5/H6,0)</f>
        <v>333.75</v>
      </c>
      <c r="I7" s="104" t="n">
        <f aca="false">IF(I6&gt;0,I5/I6,0)</f>
        <v>305.555555555556</v>
      </c>
      <c r="J7" s="104" t="n">
        <f aca="false">IF(J6&gt;0,J5/J6,0)</f>
        <v>315.555555555556</v>
      </c>
      <c r="K7" s="104" t="n">
        <f aca="false">IF(K6&gt;0,K5/K6,0)</f>
        <v>322.222222222222</v>
      </c>
      <c r="L7" s="104" t="n">
        <f aca="false">IF(L6&gt;0,L5/L6,0)</f>
        <v>280.909090909091</v>
      </c>
      <c r="M7" s="104" t="n">
        <f aca="false">IF(M6&gt;0,M5/M6,0)</f>
        <v>288.181818181818</v>
      </c>
      <c r="N7" s="104" t="n">
        <f aca="false">IF(N6&gt;0,N5/N6,0)</f>
        <v>296.363636363636</v>
      </c>
      <c r="O7" s="104" t="n">
        <f aca="false">IF(O6&gt;0,O5/O6,0)</f>
        <v>448.888888888889</v>
      </c>
      <c r="P7" s="104" t="n">
        <f aca="false">IF(P6&gt;0,P5/P6,0)</f>
        <v>413</v>
      </c>
      <c r="Q7" s="104" t="n">
        <f aca="false">IF(Q6&gt;0,Q5/Q6,0)</f>
        <v>421</v>
      </c>
      <c r="R7" s="104" t="n">
        <f aca="false">IF(R6&gt;0,R5/R6,0)</f>
        <v>536.25</v>
      </c>
      <c r="S7" s="104" t="n">
        <f aca="false">IF(S6&gt;0,S5/S6,0)</f>
        <v>485.555555555556</v>
      </c>
      <c r="T7" s="133" t="n">
        <f aca="false">AVERAGE(B7:S7)</f>
        <v>294.439494147828</v>
      </c>
    </row>
    <row r="8" customFormat="false" ht="15" hidden="false" customHeight="true" outlineLevel="0" collapsed="false">
      <c r="A8" s="134" t="s">
        <v>450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</row>
    <row r="9" customFormat="false" ht="4.5" hidden="false" customHeight="tru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customFormat="false" ht="16.5" hidden="false" customHeight="true" outlineLevel="0" collapsed="false">
      <c r="A10" s="131" t="s">
        <v>451</v>
      </c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</row>
    <row r="11" customFormat="false" ht="15" hidden="false" customHeight="true" outlineLevel="0" collapsed="false">
      <c r="A11" s="90" t="s">
        <v>452</v>
      </c>
      <c r="B11" s="91" t="n">
        <v>49</v>
      </c>
      <c r="C11" s="91" t="n">
        <v>50</v>
      </c>
      <c r="D11" s="91" t="n">
        <v>67</v>
      </c>
      <c r="E11" s="91" t="n">
        <v>84</v>
      </c>
      <c r="F11" s="91" t="n">
        <v>89</v>
      </c>
      <c r="G11" s="91" t="n">
        <v>94</v>
      </c>
      <c r="H11" s="91" t="n">
        <v>96</v>
      </c>
      <c r="I11" s="91" t="n">
        <v>100</v>
      </c>
      <c r="J11" s="91" t="n">
        <v>100</v>
      </c>
      <c r="K11" s="91" t="n">
        <v>102</v>
      </c>
      <c r="L11" s="91" t="n">
        <v>104</v>
      </c>
      <c r="M11" s="91" t="n">
        <v>106</v>
      </c>
      <c r="N11" s="91" t="n">
        <v>108</v>
      </c>
      <c r="O11" s="91" t="n">
        <v>115</v>
      </c>
      <c r="P11" s="91" t="n">
        <v>118</v>
      </c>
      <c r="Q11" s="91" t="n">
        <v>118</v>
      </c>
      <c r="R11" s="91" t="n">
        <v>124</v>
      </c>
      <c r="S11" s="91" t="n">
        <v>125</v>
      </c>
      <c r="T11" s="72" t="n">
        <f aca="false">SUM(B11:S11)</f>
        <v>1749</v>
      </c>
    </row>
    <row r="12" customFormat="false" ht="15" hidden="false" customHeight="true" outlineLevel="0" collapsed="false">
      <c r="A12" s="41" t="s">
        <v>453</v>
      </c>
      <c r="B12" s="47" t="n">
        <v>0.04</v>
      </c>
      <c r="C12" s="47" t="n">
        <v>0.04</v>
      </c>
      <c r="D12" s="47" t="n">
        <v>0.04</v>
      </c>
      <c r="E12" s="47" t="n">
        <v>0.04</v>
      </c>
      <c r="F12" s="47" t="n">
        <v>0.04</v>
      </c>
      <c r="G12" s="47" t="n">
        <v>0.04</v>
      </c>
      <c r="H12" s="47" t="n">
        <v>0.02</v>
      </c>
      <c r="I12" s="47" t="n">
        <v>0.02</v>
      </c>
      <c r="J12" s="47" t="n">
        <v>0.02</v>
      </c>
      <c r="K12" s="47" t="n">
        <v>0.02</v>
      </c>
      <c r="L12" s="47" t="n">
        <v>0.02</v>
      </c>
      <c r="M12" s="47" t="n">
        <v>0.02</v>
      </c>
      <c r="N12" s="47" t="n">
        <v>0.02</v>
      </c>
      <c r="O12" s="47" t="n">
        <v>0.02</v>
      </c>
      <c r="P12" s="47" t="n">
        <v>0.02</v>
      </c>
      <c r="Q12" s="47" t="n">
        <v>0.02</v>
      </c>
      <c r="R12" s="47" t="n">
        <v>0.02</v>
      </c>
      <c r="S12" s="47" t="n">
        <v>0.02</v>
      </c>
      <c r="T12" s="120" t="n">
        <f aca="false">AVERAGE(B12:S12)</f>
        <v>0.0266666666666667</v>
      </c>
    </row>
    <row r="13" customFormat="false" ht="15" hidden="false" customHeight="true" outlineLevel="0" collapsed="false">
      <c r="A13" s="41" t="s">
        <v>454</v>
      </c>
      <c r="B13" s="135" t="n">
        <f aca="false">IF(B12&gt;0,1/B12,0)</f>
        <v>25</v>
      </c>
      <c r="C13" s="135" t="n">
        <f aca="false">IF(C12&gt;0,1/C12,0)</f>
        <v>25</v>
      </c>
      <c r="D13" s="135" t="n">
        <f aca="false">IF(D12&gt;0,1/D12,0)</f>
        <v>25</v>
      </c>
      <c r="E13" s="135" t="n">
        <f aca="false">IF(E12&gt;0,1/E12,0)</f>
        <v>25</v>
      </c>
      <c r="F13" s="135" t="n">
        <f aca="false">IF(F12&gt;0,1/F12,0)</f>
        <v>25</v>
      </c>
      <c r="G13" s="135" t="n">
        <f aca="false">IF(G12&gt;0,1/G12,0)</f>
        <v>25</v>
      </c>
      <c r="H13" s="135" t="n">
        <f aca="false">IF(H12&gt;0,1/H12,0)</f>
        <v>50</v>
      </c>
      <c r="I13" s="135" t="n">
        <f aca="false">IF(I12&gt;0,1/I12,0)</f>
        <v>50</v>
      </c>
      <c r="J13" s="135" t="n">
        <f aca="false">IF(J12&gt;0,1/J12,0)</f>
        <v>50</v>
      </c>
      <c r="K13" s="135" t="n">
        <f aca="false">IF(K12&gt;0,1/K12,0)</f>
        <v>50</v>
      </c>
      <c r="L13" s="135" t="n">
        <f aca="false">IF(L12&gt;0,1/L12,0)</f>
        <v>50</v>
      </c>
      <c r="M13" s="135" t="n">
        <f aca="false">IF(M12&gt;0,1/M12,0)</f>
        <v>50</v>
      </c>
      <c r="N13" s="135" t="n">
        <f aca="false">IF(N12&gt;0,1/N12,0)</f>
        <v>50</v>
      </c>
      <c r="O13" s="135" t="n">
        <f aca="false">IF(O12&gt;0,1/O12,0)</f>
        <v>50</v>
      </c>
      <c r="P13" s="135" t="n">
        <f aca="false">IF(P12&gt;0,1/P12,0)</f>
        <v>50</v>
      </c>
      <c r="Q13" s="135" t="n">
        <f aca="false">IF(Q12&gt;0,1/Q12,0)</f>
        <v>50</v>
      </c>
      <c r="R13" s="135" t="n">
        <f aca="false">IF(R12&gt;0,1/R12,0)</f>
        <v>50</v>
      </c>
      <c r="S13" s="135" t="n">
        <f aca="false">IF(S12&gt;0,1/S12,0)</f>
        <v>50</v>
      </c>
      <c r="T13" s="136" t="n">
        <f aca="false">AVERAGE(B13:S13)</f>
        <v>41.6666666666667</v>
      </c>
    </row>
    <row r="14" customFormat="false" ht="18.75" hidden="false" customHeight="true" outlineLevel="0" collapsed="false">
      <c r="A14" s="132" t="s">
        <v>455</v>
      </c>
      <c r="B14" s="104" t="n">
        <f aca="false">B11*B13</f>
        <v>1225</v>
      </c>
      <c r="C14" s="104" t="n">
        <f aca="false">C11*C13</f>
        <v>1250</v>
      </c>
      <c r="D14" s="104" t="n">
        <f aca="false">D11*D13</f>
        <v>1675</v>
      </c>
      <c r="E14" s="104" t="n">
        <f aca="false">E11*E13</f>
        <v>2100</v>
      </c>
      <c r="F14" s="104" t="n">
        <f aca="false">F11*F13</f>
        <v>2225</v>
      </c>
      <c r="G14" s="104" t="n">
        <f aca="false">G11*G13</f>
        <v>2350</v>
      </c>
      <c r="H14" s="104" t="n">
        <f aca="false">H11*H13</f>
        <v>4800</v>
      </c>
      <c r="I14" s="104" t="n">
        <f aca="false">I11*I13</f>
        <v>5000</v>
      </c>
      <c r="J14" s="104" t="n">
        <f aca="false">J11*J13</f>
        <v>5000</v>
      </c>
      <c r="K14" s="104" t="n">
        <f aca="false">K11*K13</f>
        <v>5100</v>
      </c>
      <c r="L14" s="104" t="n">
        <f aca="false">L11*L13</f>
        <v>5200</v>
      </c>
      <c r="M14" s="104" t="n">
        <f aca="false">M11*M13</f>
        <v>5300</v>
      </c>
      <c r="N14" s="104" t="n">
        <f aca="false">N11*N13</f>
        <v>5400</v>
      </c>
      <c r="O14" s="104" t="n">
        <f aca="false">O11*O13</f>
        <v>5750</v>
      </c>
      <c r="P14" s="104" t="n">
        <f aca="false">P11*P13</f>
        <v>5900</v>
      </c>
      <c r="Q14" s="104" t="n">
        <f aca="false">Q11*Q13</f>
        <v>5900</v>
      </c>
      <c r="R14" s="104" t="n">
        <f aca="false">R11*R13</f>
        <v>6200</v>
      </c>
      <c r="S14" s="104" t="n">
        <f aca="false">S11*S13</f>
        <v>6250</v>
      </c>
      <c r="T14" s="133" t="n">
        <f aca="false">AVERAGE(B14:S14)</f>
        <v>4256.94444444444</v>
      </c>
    </row>
    <row r="15" customFormat="false" ht="4.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customFormat="false" ht="16.5" hidden="false" customHeight="true" outlineLevel="0" collapsed="false">
      <c r="A16" s="131" t="s">
        <v>456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</row>
    <row r="17" customFormat="false" ht="19.5" hidden="false" customHeight="true" outlineLevel="0" collapsed="false">
      <c r="A17" s="137" t="s">
        <v>457</v>
      </c>
      <c r="B17" s="138" t="n">
        <f aca="false">IF(B7&gt;0,B14/B7,0)</f>
        <v>28.8235294117647</v>
      </c>
      <c r="C17" s="138" t="n">
        <f aca="false">IF(C7&gt;0,C14/C7,0)</f>
        <v>20.8333333333333</v>
      </c>
      <c r="D17" s="138" t="n">
        <f aca="false">IF(D7&gt;0,D14/D7,0)</f>
        <v>45.6818181818182</v>
      </c>
      <c r="E17" s="138" t="n">
        <f aca="false">IF(E7&gt;0,E14/E7,0)</f>
        <v>15.1807228915663</v>
      </c>
      <c r="F17" s="138" t="n">
        <f aca="false">IF(F7&gt;0,F14/F7,0)</f>
        <v>7.38151658767773</v>
      </c>
      <c r="G17" s="138" t="n">
        <f aca="false">IF(G7&gt;0,G14/G7,0)</f>
        <v>8.58447488584475</v>
      </c>
      <c r="H17" s="138" t="n">
        <f aca="false">IF(H7&gt;0,H14/H7,0)</f>
        <v>14.3820224719101</v>
      </c>
      <c r="I17" s="138" t="n">
        <f aca="false">IF(I7&gt;0,I14/I7,0)</f>
        <v>16.3636363636364</v>
      </c>
      <c r="J17" s="138" t="n">
        <f aca="false">IF(J7&gt;0,J14/J7,0)</f>
        <v>15.8450704225352</v>
      </c>
      <c r="K17" s="138" t="n">
        <f aca="false">IF(K7&gt;0,K14/K7,0)</f>
        <v>15.8275862068966</v>
      </c>
      <c r="L17" s="138" t="n">
        <f aca="false">IF(L7&gt;0,L14/L7,0)</f>
        <v>18.5113268608414</v>
      </c>
      <c r="M17" s="138" t="n">
        <f aca="false">IF(M7&gt;0,M14/M7,0)</f>
        <v>18.391167192429</v>
      </c>
      <c r="N17" s="138" t="n">
        <f aca="false">IF(N7&gt;0,N14/N7,0)</f>
        <v>18.2208588957055</v>
      </c>
      <c r="O17" s="138" t="n">
        <f aca="false">IF(O7&gt;0,O14/O7,0)</f>
        <v>12.8094059405941</v>
      </c>
      <c r="P17" s="138" t="n">
        <f aca="false">IF(P7&gt;0,P14/P7,0)</f>
        <v>14.2857142857143</v>
      </c>
      <c r="Q17" s="138" t="n">
        <f aca="false">IF(Q7&gt;0,Q14/Q7,0)</f>
        <v>14.0142517814727</v>
      </c>
      <c r="R17" s="138" t="n">
        <f aca="false">IF(R7&gt;0,R14/R7,0)</f>
        <v>11.5617715617716</v>
      </c>
      <c r="S17" s="138" t="n">
        <f aca="false">IF(S7&gt;0,S14/S7,0)</f>
        <v>12.8718535469108</v>
      </c>
      <c r="T17" s="139" t="n">
        <f aca="false">AVERAGE(B17:S17)</f>
        <v>17.1983367123568</v>
      </c>
    </row>
    <row r="18" customFormat="false" ht="15" hidden="false" customHeight="true" outlineLevel="0" collapsed="false">
      <c r="A18" s="128" t="s">
        <v>458</v>
      </c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  <c r="R18" s="128"/>
      <c r="S18" s="128"/>
      <c r="T18" s="128"/>
    </row>
    <row r="19" customFormat="false" ht="4.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customFormat="false" ht="16.5" hidden="false" customHeight="true" outlineLevel="0" collapsed="false">
      <c r="A20" s="131" t="s">
        <v>459</v>
      </c>
      <c r="B20" s="131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</row>
    <row r="21" customFormat="false" ht="15" hidden="false" customHeight="true" outlineLevel="0" collapsed="false">
      <c r="A21" s="90" t="s">
        <v>460</v>
      </c>
      <c r="B21" s="91" t="n">
        <v>1</v>
      </c>
      <c r="C21" s="91" t="n">
        <v>14</v>
      </c>
      <c r="D21" s="91" t="n">
        <v>41</v>
      </c>
      <c r="E21" s="91" t="n">
        <v>59</v>
      </c>
      <c r="F21" s="91" t="n">
        <v>63</v>
      </c>
      <c r="G21" s="91" t="n">
        <v>67</v>
      </c>
      <c r="H21" s="91" t="n">
        <v>70</v>
      </c>
      <c r="I21" s="91" t="n">
        <v>73</v>
      </c>
      <c r="J21" s="91" t="n">
        <v>73</v>
      </c>
      <c r="K21" s="91" t="n">
        <v>75</v>
      </c>
      <c r="L21" s="91" t="n">
        <v>76</v>
      </c>
      <c r="M21" s="91" t="n">
        <v>77</v>
      </c>
      <c r="N21" s="91" t="n">
        <v>79</v>
      </c>
      <c r="O21" s="91" t="n">
        <v>85</v>
      </c>
      <c r="P21" s="91" t="n">
        <v>87</v>
      </c>
      <c r="Q21" s="91" t="n">
        <v>87</v>
      </c>
      <c r="R21" s="91" t="n">
        <v>92</v>
      </c>
      <c r="S21" s="91" t="n">
        <v>94</v>
      </c>
      <c r="T21" s="72" t="n">
        <f aca="false">SUM(B21:S21)</f>
        <v>1213</v>
      </c>
    </row>
    <row r="22" customFormat="false" ht="18.75" hidden="false" customHeight="true" outlineLevel="0" collapsed="false">
      <c r="A22" s="132" t="s">
        <v>461</v>
      </c>
      <c r="B22" s="140" t="n">
        <f aca="false">IF(B21&gt;0,B7/B21,0)</f>
        <v>42.5</v>
      </c>
      <c r="C22" s="140" t="n">
        <f aca="false">IF(C21&gt;0,C7/C21,0)</f>
        <v>4.28571428571429</v>
      </c>
      <c r="D22" s="140" t="n">
        <f aca="false">IF(D21&gt;0,D7/D21,0)</f>
        <v>0.894308943089431</v>
      </c>
      <c r="E22" s="140" t="n">
        <f aca="false">IF(E21&gt;0,E7/E21,0)</f>
        <v>2.34463276836158</v>
      </c>
      <c r="F22" s="140" t="n">
        <f aca="false">IF(F21&gt;0,F7/F21,0)</f>
        <v>4.78458049886621</v>
      </c>
      <c r="G22" s="140" t="n">
        <f aca="false">IF(G21&gt;0,G7/G21,0)</f>
        <v>4.08582089552239</v>
      </c>
      <c r="H22" s="140" t="n">
        <f aca="false">IF(H21&gt;0,H7/H21,0)</f>
        <v>4.76785714285714</v>
      </c>
      <c r="I22" s="140" t="n">
        <f aca="false">IF(I21&gt;0,I7/I21,0)</f>
        <v>4.18569254185693</v>
      </c>
      <c r="J22" s="140" t="n">
        <f aca="false">IF(J21&gt;0,J7/J21,0)</f>
        <v>4.32267884322679</v>
      </c>
      <c r="K22" s="140" t="n">
        <f aca="false">IF(K21&gt;0,K7/K21,0)</f>
        <v>4.2962962962963</v>
      </c>
      <c r="L22" s="140" t="n">
        <f aca="false">IF(L21&gt;0,L7/L21,0)</f>
        <v>3.69617224880383</v>
      </c>
      <c r="M22" s="140" t="n">
        <f aca="false">IF(M21&gt;0,M7/M21,0)</f>
        <v>3.74262101534829</v>
      </c>
      <c r="N22" s="140" t="n">
        <f aca="false">IF(N21&gt;0,N7/N21,0)</f>
        <v>3.75143843498274</v>
      </c>
      <c r="O22" s="140" t="n">
        <f aca="false">IF(O21&gt;0,O7/O21,0)</f>
        <v>5.28104575163399</v>
      </c>
      <c r="P22" s="140" t="n">
        <f aca="false">IF(P21&gt;0,P7/P21,0)</f>
        <v>4.74712643678161</v>
      </c>
      <c r="Q22" s="140" t="n">
        <f aca="false">IF(Q21&gt;0,Q7/Q21,0)</f>
        <v>4.83908045977012</v>
      </c>
      <c r="R22" s="140" t="n">
        <f aca="false">IF(R21&gt;0,R7/R21,0)</f>
        <v>5.82880434782609</v>
      </c>
      <c r="S22" s="140" t="n">
        <f aca="false">IF(S21&gt;0,S7/S21,0)</f>
        <v>5.16548463356974</v>
      </c>
      <c r="T22" s="141" t="n">
        <f aca="false">AVERAGE(B22:S22)</f>
        <v>6.30663086358375</v>
      </c>
    </row>
    <row r="23" customFormat="false" ht="15" hidden="false" customHeight="true" outlineLevel="0" collapsed="false">
      <c r="A23" s="128" t="s">
        <v>462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</row>
    <row r="24" customFormat="false" ht="4.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customFormat="false" ht="16.5" hidden="false" customHeight="true" outlineLevel="0" collapsed="false">
      <c r="A25" s="131" t="s">
        <v>463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</row>
    <row r="26" customFormat="false" ht="15" hidden="false" customHeight="true" outlineLevel="0" collapsed="false">
      <c r="A26" s="41" t="s">
        <v>464</v>
      </c>
      <c r="B26" s="119" t="n">
        <f aca="false">IF('MRR Waterfall'!B5&gt;0,('MRR Waterfall'!B12-'MRR Waterfall'!B5)/'MRR Waterfall'!B5,0)</f>
        <v>0</v>
      </c>
      <c r="C26" s="119" t="n">
        <f aca="false">IF('MRR Waterfall'!C5&gt;0,('MRR Waterfall'!C12-'MRR Waterfall'!C5)/'MRR Waterfall'!C5,0)</f>
        <v>0.744897959183674</v>
      </c>
      <c r="D26" s="119" t="n">
        <f aca="false">IF('MRR Waterfall'!D5&gt;0,('MRR Waterfall'!D12-'MRR Waterfall'!D5)/'MRR Waterfall'!D5,0)</f>
        <v>1.10764872521246</v>
      </c>
      <c r="E26" s="119" t="n">
        <f aca="false">IF('MRR Waterfall'!E5&gt;0,('MRR Waterfall'!E12-'MRR Waterfall'!E5)/'MRR Waterfall'!E5,0)</f>
        <v>0.549086757990868</v>
      </c>
      <c r="F26" s="119" t="n">
        <f aca="false">IF('MRR Waterfall'!F5&gt;0,('MRR Waterfall'!F12-'MRR Waterfall'!F5)/'MRR Waterfall'!F5,0)</f>
        <v>0.368980612883052</v>
      </c>
      <c r="G26" s="119" t="n">
        <f aca="false">IF('MRR Waterfall'!G5&gt;0,('MRR Waterfall'!G12-'MRR Waterfall'!G5)/'MRR Waterfall'!G5,0)</f>
        <v>0.3015941404567</v>
      </c>
      <c r="H26" s="119" t="n">
        <f aca="false">IF('MRR Waterfall'!H5&gt;0,('MRR Waterfall'!H12-'MRR Waterfall'!H5)/'MRR Waterfall'!H5,0)</f>
        <v>0.249292675259352</v>
      </c>
      <c r="I26" s="119" t="n">
        <f aca="false">IF('MRR Waterfall'!I5&gt;0,('MRR Waterfall'!I12-'MRR Waterfall'!I5)/'MRR Waterfall'!I5,0)</f>
        <v>0.227541954590326</v>
      </c>
      <c r="J26" s="119" t="n">
        <f aca="false">IF('MRR Waterfall'!J5&gt;0,('MRR Waterfall'!J12-'MRR Waterfall'!J5)/'MRR Waterfall'!J5,0)</f>
        <v>0.183428458964771</v>
      </c>
      <c r="K26" s="119" t="n">
        <f aca="false">IF('MRR Waterfall'!K5&gt;0,('MRR Waterfall'!K12-'MRR Waterfall'!K5)/'MRR Waterfall'!K5,0)</f>
        <v>0.159208118449509</v>
      </c>
      <c r="L26" s="119" t="n">
        <f aca="false">IF('MRR Waterfall'!L5&gt;0,('MRR Waterfall'!L12-'MRR Waterfall'!L5)/'MRR Waterfall'!L5,0)</f>
        <v>0.16742209631728</v>
      </c>
      <c r="M26" s="119" t="n">
        <f aca="false">IF('MRR Waterfall'!M5&gt;0,('MRR Waterfall'!M12-'MRR Waterfall'!M5)/'MRR Waterfall'!M5,0)</f>
        <v>0.145994208494209</v>
      </c>
      <c r="N26" s="119" t="n">
        <f aca="false">IF('MRR Waterfall'!N5&gt;0,('MRR Waterfall'!N12-'MRR Waterfall'!N5)/'MRR Waterfall'!N5,0)</f>
        <v>0.129589183567343</v>
      </c>
      <c r="O26" s="119" t="n">
        <f aca="false">IF('MRR Waterfall'!O5&gt;0,('MRR Waterfall'!O12-'MRR Waterfall'!O5)/'MRR Waterfall'!O5,0)</f>
        <v>0.0993479442130049</v>
      </c>
      <c r="P26" s="119" t="n">
        <f aca="false">IF('MRR Waterfall'!P5&gt;0,('MRR Waterfall'!P12-'MRR Waterfall'!P5)/'MRR Waterfall'!P5,0)</f>
        <v>0.0978823529411765</v>
      </c>
      <c r="Q26" s="119" t="n">
        <f aca="false">IF('MRR Waterfall'!Q5&gt;0,('MRR Waterfall'!Q12-'MRR Waterfall'!Q5)/'MRR Waterfall'!Q5,0)</f>
        <v>0.0881505935239166</v>
      </c>
      <c r="R26" s="119" t="n">
        <f aca="false">IF('MRR Waterfall'!R5&gt;0,('MRR Waterfall'!R12-'MRR Waterfall'!R5)/'MRR Waterfall'!R5,0)</f>
        <v>0.0698217179902755</v>
      </c>
      <c r="S26" s="119" t="n">
        <f aca="false">IF('MRR Waterfall'!S5&gt;0,('MRR Waterfall'!S12-'MRR Waterfall'!S5)/'MRR Waterfall'!S5,0)</f>
        <v>0.0709928542380759</v>
      </c>
      <c r="T26" s="120" t="n">
        <f aca="false">AVERAGE(B26:S26)</f>
        <v>0.264493353015333</v>
      </c>
    </row>
    <row r="27" customFormat="false" ht="15" hidden="false" customHeight="true" outlineLevel="0" collapsed="false">
      <c r="A27" s="41" t="s">
        <v>465</v>
      </c>
      <c r="B27" s="119" t="n">
        <f aca="false">IF('A — Ricavi'!B31&gt;0,MASTER!B20/'A — Ricavi'!B31,0)</f>
        <v>0</v>
      </c>
      <c r="C27" s="119" t="n">
        <f aca="false">IF('A — Ricavi'!C31&gt;0,MASTER!C20/'A — Ricavi'!C31,0)</f>
        <v>0</v>
      </c>
      <c r="D27" s="119" t="n">
        <f aca="false">IF('A — Ricavi'!D31&gt;0,MASTER!D20/'A — Ricavi'!D31,0)</f>
        <v>0</v>
      </c>
      <c r="E27" s="119" t="n">
        <f aca="false">IF('A — Ricavi'!E31&gt;0,MASTER!E20/'A — Ricavi'!E31,0)</f>
        <v>0</v>
      </c>
      <c r="F27" s="119" t="n">
        <f aca="false">IF('A — Ricavi'!F31&gt;0,MASTER!F20/'A — Ricavi'!F31,0)</f>
        <v>0</v>
      </c>
      <c r="G27" s="119" t="n">
        <f aca="false">IF('A — Ricavi'!G31&gt;0,MASTER!G20/'A — Ricavi'!G31,0)</f>
        <v>0</v>
      </c>
      <c r="H27" s="119" t="n">
        <f aca="false">IF('A — Ricavi'!H31&gt;0,MASTER!H20/'A — Ricavi'!H31,0)</f>
        <v>0</v>
      </c>
      <c r="I27" s="119" t="n">
        <f aca="false">IF('A — Ricavi'!I31&gt;0,MASTER!I20/'A — Ricavi'!I31,0)</f>
        <v>0</v>
      </c>
      <c r="J27" s="119" t="n">
        <f aca="false">IF('A — Ricavi'!J31&gt;0,MASTER!J20/'A — Ricavi'!J31,0)</f>
        <v>0</v>
      </c>
      <c r="K27" s="119" t="n">
        <f aca="false">IF('A — Ricavi'!K31&gt;0,MASTER!K20/'A — Ricavi'!K31,0)</f>
        <v>0</v>
      </c>
      <c r="L27" s="119" t="n">
        <f aca="false">IF('A — Ricavi'!L31&gt;0,MASTER!L20/'A — Ricavi'!L31,0)</f>
        <v>0</v>
      </c>
      <c r="M27" s="119" t="n">
        <f aca="false">IF('A — Ricavi'!M31&gt;0,MASTER!M20/'A — Ricavi'!M31,0)</f>
        <v>0</v>
      </c>
      <c r="N27" s="119" t="n">
        <f aca="false">IF('A — Ricavi'!N31&gt;0,MASTER!N20/'A — Ricavi'!N31,0)</f>
        <v>0</v>
      </c>
      <c r="O27" s="119" t="n">
        <f aca="false">IF('A — Ricavi'!O31&gt;0,MASTER!O20/'A — Ricavi'!O31,0)</f>
        <v>0</v>
      </c>
      <c r="P27" s="119" t="n">
        <f aca="false">IF('A — Ricavi'!P31&gt;0,MASTER!P20/'A — Ricavi'!P31,0)</f>
        <v>0</v>
      </c>
      <c r="Q27" s="119" t="n">
        <f aca="false">IF('A — Ricavi'!Q31&gt;0,MASTER!Q20/'A — Ricavi'!Q31,0)</f>
        <v>0</v>
      </c>
      <c r="R27" s="119" t="n">
        <f aca="false">IF('A — Ricavi'!R31&gt;0,MASTER!R20/'A — Ricavi'!R31,0)</f>
        <v>0</v>
      </c>
      <c r="S27" s="119" t="n">
        <f aca="false">IF('A — Ricavi'!S31&gt;0,MASTER!S20/'A — Ricavi'!S31,0)</f>
        <v>0</v>
      </c>
      <c r="T27" s="120" t="n">
        <f aca="false">AVERAGE(B27:S27)</f>
        <v>0</v>
      </c>
    </row>
    <row r="28" customFormat="false" ht="19.5" hidden="false" customHeight="true" outlineLevel="0" collapsed="false">
      <c r="A28" s="137" t="s">
        <v>466</v>
      </c>
      <c r="B28" s="142" t="n">
        <f aca="false">B26+B27</f>
        <v>0</v>
      </c>
      <c r="C28" s="142" t="n">
        <f aca="false">C26+C27</f>
        <v>0.744897959183674</v>
      </c>
      <c r="D28" s="142" t="n">
        <f aca="false">D26+D27</f>
        <v>1.10764872521246</v>
      </c>
      <c r="E28" s="142" t="n">
        <f aca="false">E26+E27</f>
        <v>0.549086757990868</v>
      </c>
      <c r="F28" s="142" t="n">
        <f aca="false">F26+F27</f>
        <v>0.368980612883052</v>
      </c>
      <c r="G28" s="142" t="n">
        <f aca="false">G26+G27</f>
        <v>0.3015941404567</v>
      </c>
      <c r="H28" s="142" t="n">
        <f aca="false">H26+H27</f>
        <v>0.249292675259352</v>
      </c>
      <c r="I28" s="142" t="n">
        <f aca="false">I26+I27</f>
        <v>0.227541954590326</v>
      </c>
      <c r="J28" s="142" t="n">
        <f aca="false">J26+J27</f>
        <v>0.183428458964771</v>
      </c>
      <c r="K28" s="142" t="n">
        <f aca="false">K26+K27</f>
        <v>0.159208118449509</v>
      </c>
      <c r="L28" s="142" t="n">
        <f aca="false">L26+L27</f>
        <v>0.16742209631728</v>
      </c>
      <c r="M28" s="142" t="n">
        <f aca="false">M26+M27</f>
        <v>0.145994208494209</v>
      </c>
      <c r="N28" s="142" t="n">
        <f aca="false">N26+N27</f>
        <v>0.129589183567343</v>
      </c>
      <c r="O28" s="142" t="n">
        <f aca="false">O26+O27</f>
        <v>0.0993479442130049</v>
      </c>
      <c r="P28" s="142" t="n">
        <f aca="false">P26+P27</f>
        <v>0.0978823529411765</v>
      </c>
      <c r="Q28" s="142" t="n">
        <f aca="false">Q26+Q27</f>
        <v>0.0881505935239166</v>
      </c>
      <c r="R28" s="142" t="n">
        <f aca="false">R26+R27</f>
        <v>0.0698217179902755</v>
      </c>
      <c r="S28" s="142" t="n">
        <f aca="false">S26+S27</f>
        <v>0.0709928542380759</v>
      </c>
      <c r="T28" s="143" t="n">
        <f aca="false">AVERAGE(B28:S28)</f>
        <v>0.264493353015333</v>
      </c>
    </row>
    <row r="29" customFormat="false" ht="15" hidden="false" customHeight="true" outlineLevel="0" collapsed="false">
      <c r="A29" s="128" t="s">
        <v>467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</row>
    <row r="30" customFormat="false" ht="4.5" hidden="false" customHeight="true" outlineLevel="0" collapsed="false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customFormat="false" ht="16.5" hidden="false" customHeight="true" outlineLevel="0" collapsed="false">
      <c r="A31" s="131" t="s">
        <v>468</v>
      </c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</row>
    <row r="32" customFormat="false" ht="18.75" hidden="false" customHeight="true" outlineLevel="0" collapsed="false">
      <c r="A32" s="132" t="s">
        <v>469</v>
      </c>
      <c r="B32" s="144" t="n">
        <f aca="false">IF(B5&gt;0,('MRR Waterfall'!B20-'MRR Waterfall'!B20)/B5*4,0)</f>
        <v>0</v>
      </c>
      <c r="C32" s="144" t="n">
        <f aca="false">IF(B5&gt;0,('MRR Waterfall'!C20-'MRR Waterfall'!B20)/B5*4,0)</f>
        <v>42.0705882352941</v>
      </c>
      <c r="D32" s="144" t="n">
        <f aca="false">IF(B5&gt;0,('MRR Waterfall'!D20-'MRR Waterfall'!B20)/C5*4,0)</f>
        <v>146.933333333333</v>
      </c>
      <c r="E32" s="144" t="n">
        <f aca="false">IF(B5&gt;0,('MRR Waterfall'!E20-'MRR Waterfall'!B20)/D5*4,0)</f>
        <v>253.963636363636</v>
      </c>
      <c r="F32" s="144" t="n">
        <f aca="false">IF(B5&gt;0,('MRR Waterfall'!F20-'MRR Waterfall'!B20)/E5*4,0)</f>
        <v>115.431325301205</v>
      </c>
      <c r="G32" s="144" t="n">
        <f aca="false">IF(B5&gt;0,('MRR Waterfall'!G20-'MRR Waterfall'!B20)/F5*4,0)</f>
        <v>64.3336492890995</v>
      </c>
      <c r="H32" s="144" t="n">
        <f aca="false">IF(B5&gt;0,('MRR Waterfall'!H20-'MRR Waterfall'!B20)/G5*4,0)</f>
        <v>82.8712328767123</v>
      </c>
      <c r="I32" s="144" t="n">
        <f aca="false">IF(B5&gt;0,('MRR Waterfall'!I20-'MRR Waterfall'!B20)/H5*4,0)</f>
        <v>85.9505617977528</v>
      </c>
      <c r="J32" s="144" t="n">
        <f aca="false">IF(B5&gt;0,('MRR Waterfall'!J20-'MRR Waterfall'!B20)/I5*4,0)</f>
        <v>101.585454545455</v>
      </c>
      <c r="K32" s="144" t="n">
        <f aca="false">IF(B5&gt;0,('MRR Waterfall'!K20-'MRR Waterfall'!B20)/J5*4,0)</f>
        <v>114.507042253521</v>
      </c>
      <c r="L32" s="144" t="n">
        <f aca="false">IF(B5&gt;0,('MRR Waterfall'!L20-'MRR Waterfall'!B20)/K5*4,0)</f>
        <v>133.224827586207</v>
      </c>
      <c r="M32" s="144" t="n">
        <f aca="false">IF(B5&gt;0,('MRR Waterfall'!M20-'MRR Waterfall'!B20)/L5*4,0)</f>
        <v>144.543689320388</v>
      </c>
      <c r="N32" s="144" t="n">
        <f aca="false">IF(B5&gt;0,('MRR Waterfall'!N20-'MRR Waterfall'!B20)/M5*4,0)</f>
        <v>161.534384858044</v>
      </c>
      <c r="O32" s="144" t="n">
        <f aca="false">IF(B5&gt;0,('MRR Waterfall'!O20-'MRR Waterfall'!B20)/N5*4,0)</f>
        <v>175.892024539877</v>
      </c>
      <c r="P32" s="144" t="n">
        <f aca="false">IF(B5&gt;0,('MRR Waterfall'!P20-'MRR Waterfall'!B20)/O5*4,0)</f>
        <v>164.019801980198</v>
      </c>
      <c r="Q32" s="144" t="n">
        <f aca="false">IF(B5&gt;0,('MRR Waterfall'!Q20-'MRR Waterfall'!B20)/P5*4,0)</f>
        <v>177.809200968523</v>
      </c>
      <c r="R32" s="144" t="n">
        <f aca="false">IF(B5&gt;0,('MRR Waterfall'!R20-'MRR Waterfall'!B20)/Q5*4,0)</f>
        <v>185.945843230404</v>
      </c>
      <c r="S32" s="144" t="n">
        <f aca="false">IF(B5&gt;0,('MRR Waterfall'!S20-'MRR Waterfall'!B20)/R5*4,0)</f>
        <v>204.106293706294</v>
      </c>
      <c r="T32" s="145" t="n">
        <f aca="false">AVERAGE(B32:S32)</f>
        <v>130.817938343664</v>
      </c>
    </row>
    <row r="33" customFormat="false" ht="15" hidden="false" customHeight="true" outlineLevel="0" collapsed="false">
      <c r="A33" s="128" t="s">
        <v>470</v>
      </c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</row>
  </sheetData>
  <mergeCells count="18">
    <mergeCell ref="A1:T1"/>
    <mergeCell ref="A2:T2"/>
    <mergeCell ref="A4:T4"/>
    <mergeCell ref="A8:T8"/>
    <mergeCell ref="A9:T9"/>
    <mergeCell ref="A10:T10"/>
    <mergeCell ref="A15:T15"/>
    <mergeCell ref="A16:T16"/>
    <mergeCell ref="A18:T18"/>
    <mergeCell ref="A19:T19"/>
    <mergeCell ref="A20:T20"/>
    <mergeCell ref="A23:T23"/>
    <mergeCell ref="A24:T24"/>
    <mergeCell ref="A25:T25"/>
    <mergeCell ref="A29:T29"/>
    <mergeCell ref="A30:T30"/>
    <mergeCell ref="A31:T31"/>
    <mergeCell ref="A33:T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9" min="2" style="1" width="11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81" t="s">
        <v>471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</row>
    <row r="2" customFormat="false" ht="13.5" hidden="false" customHeight="true" outlineLevel="0" collapsed="false">
      <c r="A2" s="3" t="s">
        <v>472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6.5" hidden="false" customHeight="true" outlineLevel="0" collapsed="false">
      <c r="A4" s="146" t="s">
        <v>473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</row>
    <row r="5" customFormat="false" ht="15" hidden="false" customHeight="true" outlineLevel="0" collapsed="false">
      <c r="A5" s="41" t="s">
        <v>474</v>
      </c>
      <c r="B5" s="50" t="n">
        <f aca="false">MASTER!B30</f>
        <v>-4133</v>
      </c>
      <c r="C5" s="50" t="n">
        <f aca="false">MASTER!C30</f>
        <v>-4051</v>
      </c>
      <c r="D5" s="50" t="n">
        <f aca="false">MASTER!D30</f>
        <v>-3504</v>
      </c>
      <c r="E5" s="50" t="n">
        <f aca="false">MASTER!E30</f>
        <v>-4181</v>
      </c>
      <c r="F5" s="50" t="n">
        <f aca="false">MASTER!F30</f>
        <v>-4717</v>
      </c>
      <c r="G5" s="50" t="n">
        <f aca="false">MASTER!G30</f>
        <v>-4439</v>
      </c>
      <c r="H5" s="50" t="n">
        <f aca="false">MASTER!H30</f>
        <v>-5692</v>
      </c>
      <c r="I5" s="50" t="n">
        <f aca="false">MASTER!I30</f>
        <v>-4625</v>
      </c>
      <c r="J5" s="50" t="n">
        <f aca="false">MASTER!J30</f>
        <v>-3430</v>
      </c>
      <c r="K5" s="50" t="n">
        <f aca="false">MASTER!K30</f>
        <v>-2360</v>
      </c>
      <c r="L5" s="50" t="n">
        <f aca="false">MASTER!L30</f>
        <v>-2670</v>
      </c>
      <c r="M5" s="50" t="n">
        <f aca="false">MASTER!M30</f>
        <v>-1469</v>
      </c>
      <c r="N5" s="50" t="n">
        <f aca="false">MASTER!N30</f>
        <v>670.53</v>
      </c>
      <c r="O5" s="50" t="n">
        <f aca="false">MASTER!O30</f>
        <v>93.009</v>
      </c>
      <c r="P5" s="50" t="n">
        <f aca="false">MASTER!P30</f>
        <v>2010.148</v>
      </c>
      <c r="Q5" s="50" t="n">
        <f aca="false">MASTER!Q30</f>
        <v>3139.234</v>
      </c>
      <c r="R5" s="50" t="n">
        <f aca="false">MASTER!R30</f>
        <v>5362.077</v>
      </c>
      <c r="S5" s="50" t="n">
        <f aca="false">MASTER!S30</f>
        <v>6831.475</v>
      </c>
      <c r="T5" s="72" t="n">
        <f aca="false">SUM(B5:S5)</f>
        <v>-27164.527</v>
      </c>
    </row>
    <row r="6" customFormat="false" ht="13.5" hidden="false" customHeight="true" outlineLevel="0" collapsed="false">
      <c r="A6" s="82" t="s">
        <v>475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82"/>
      <c r="P6" s="82"/>
      <c r="Q6" s="82"/>
      <c r="R6" s="82"/>
      <c r="S6" s="82"/>
      <c r="T6" s="82"/>
    </row>
    <row r="7" customFormat="false" ht="15" hidden="false" customHeight="true" outlineLevel="0" collapsed="false">
      <c r="A7" s="41" t="s">
        <v>476</v>
      </c>
      <c r="B7" s="50" t="n">
        <f aca="false">'B5 — Ammortamenti'!B14</f>
        <v>200</v>
      </c>
      <c r="C7" s="50" t="n">
        <f aca="false">'B5 — Ammortamenti'!C14</f>
        <v>200</v>
      </c>
      <c r="D7" s="50" t="n">
        <f aca="false">'B5 — Ammortamenti'!D14</f>
        <v>200</v>
      </c>
      <c r="E7" s="50" t="n">
        <f aca="false">'B5 — Ammortamenti'!E14</f>
        <v>200</v>
      </c>
      <c r="F7" s="50" t="n">
        <f aca="false">'B5 — Ammortamenti'!F14</f>
        <v>200</v>
      </c>
      <c r="G7" s="50" t="n">
        <f aca="false">'B5 — Ammortamenti'!G14</f>
        <v>200</v>
      </c>
      <c r="H7" s="50" t="n">
        <f aca="false">'B5 — Ammortamenti'!H14</f>
        <v>200</v>
      </c>
      <c r="I7" s="50" t="n">
        <f aca="false">'B5 — Ammortamenti'!I14</f>
        <v>200</v>
      </c>
      <c r="J7" s="50" t="n">
        <f aca="false">'B5 — Ammortamenti'!J14</f>
        <v>200</v>
      </c>
      <c r="K7" s="50" t="n">
        <f aca="false">'B5 — Ammortamenti'!K14</f>
        <v>200</v>
      </c>
      <c r="L7" s="50" t="n">
        <f aca="false">'B5 — Ammortamenti'!L14</f>
        <v>200</v>
      </c>
      <c r="M7" s="50" t="n">
        <f aca="false">'B5 — Ammortamenti'!M14</f>
        <v>200</v>
      </c>
      <c r="N7" s="50" t="n">
        <f aca="false">'B5 — Ammortamenti'!N14</f>
        <v>200</v>
      </c>
      <c r="O7" s="50" t="n">
        <f aca="false">'B5 — Ammortamenti'!O14</f>
        <v>200</v>
      </c>
      <c r="P7" s="50" t="n">
        <f aca="false">'B5 — Ammortamenti'!P14</f>
        <v>200</v>
      </c>
      <c r="Q7" s="50" t="n">
        <f aca="false">'B5 — Ammortamenti'!Q14</f>
        <v>200</v>
      </c>
      <c r="R7" s="50" t="n">
        <f aca="false">'B5 — Ammortamenti'!R14</f>
        <v>200</v>
      </c>
      <c r="S7" s="50" t="n">
        <f aca="false">'B5 — Ammortamenti'!S14</f>
        <v>200</v>
      </c>
      <c r="T7" s="72" t="n">
        <f aca="false">SUM(B7:S7)</f>
        <v>3600</v>
      </c>
    </row>
    <row r="8" customFormat="false" ht="15" hidden="false" customHeight="true" outlineLevel="0" collapsed="false">
      <c r="A8" s="41" t="s">
        <v>477</v>
      </c>
      <c r="B8" s="147" t="n">
        <v>0</v>
      </c>
      <c r="C8" s="55" t="n">
        <v>-47</v>
      </c>
      <c r="D8" s="55" t="n">
        <v>-157</v>
      </c>
      <c r="E8" s="55" t="n">
        <v>-217</v>
      </c>
      <c r="F8" s="55" t="n">
        <v>-217</v>
      </c>
      <c r="G8" s="55" t="n">
        <v>-258</v>
      </c>
      <c r="H8" s="55" t="n">
        <v>-261</v>
      </c>
      <c r="I8" s="55" t="n">
        <v>-309</v>
      </c>
      <c r="J8" s="55" t="n">
        <v>-279</v>
      </c>
      <c r="K8" s="55" t="n">
        <v>-315</v>
      </c>
      <c r="L8" s="55" t="n">
        <v>-368</v>
      </c>
      <c r="M8" s="55" t="n">
        <v>-398</v>
      </c>
      <c r="N8" s="55" t="n">
        <v>-428</v>
      </c>
      <c r="O8" s="55" t="n">
        <v>-512</v>
      </c>
      <c r="P8" s="55" t="n">
        <v>-446</v>
      </c>
      <c r="Q8" s="55" t="n">
        <v>-356</v>
      </c>
      <c r="R8" s="55" t="n">
        <v>-536</v>
      </c>
      <c r="S8" s="55" t="n">
        <v>-404</v>
      </c>
      <c r="T8" s="72" t="n">
        <f aca="false">SUM(B8:S8)</f>
        <v>-5508</v>
      </c>
    </row>
    <row r="9" customFormat="false" ht="15" hidden="false" customHeight="true" outlineLevel="0" collapsed="false">
      <c r="A9" s="41" t="s">
        <v>478</v>
      </c>
      <c r="B9" s="147" t="n">
        <v>0</v>
      </c>
      <c r="C9" s="55" t="n">
        <v>15</v>
      </c>
      <c r="D9" s="55" t="n">
        <v>31</v>
      </c>
      <c r="E9" s="55" t="n">
        <v>334</v>
      </c>
      <c r="F9" s="55" t="n">
        <v>304</v>
      </c>
      <c r="G9" s="55" t="n">
        <v>205</v>
      </c>
      <c r="H9" s="55" t="n">
        <v>565</v>
      </c>
      <c r="I9" s="55" t="n">
        <v>73</v>
      </c>
      <c r="J9" s="55" t="n">
        <v>81</v>
      </c>
      <c r="K9" s="55" t="n">
        <v>76</v>
      </c>
      <c r="L9" s="55" t="n">
        <v>438</v>
      </c>
      <c r="M9" s="55" t="n">
        <v>98</v>
      </c>
      <c r="N9" s="55" t="n">
        <v>116</v>
      </c>
      <c r="O9" s="55" t="n">
        <v>574</v>
      </c>
      <c r="P9" s="55" t="n">
        <v>108</v>
      </c>
      <c r="Q9" s="55" t="n">
        <v>95</v>
      </c>
      <c r="R9" s="55" t="n">
        <v>97</v>
      </c>
      <c r="S9" s="55" t="n">
        <v>92</v>
      </c>
      <c r="T9" s="72" t="n">
        <f aca="false">SUM(B9:S9)</f>
        <v>3302</v>
      </c>
    </row>
    <row r="10" customFormat="false" ht="18.75" hidden="false" customHeight="true" outlineLevel="0" collapsed="false">
      <c r="A10" s="148" t="s">
        <v>479</v>
      </c>
      <c r="B10" s="149" t="n">
        <f aca="false">B5+B7+B8+B9</f>
        <v>-3933</v>
      </c>
      <c r="C10" s="149" t="n">
        <f aca="false">C5+C7+C8+C9</f>
        <v>-3883</v>
      </c>
      <c r="D10" s="149" t="n">
        <f aca="false">D5+D7+D8+D9</f>
        <v>-3430</v>
      </c>
      <c r="E10" s="149" t="n">
        <f aca="false">E5+E7+E8+E9</f>
        <v>-3864</v>
      </c>
      <c r="F10" s="149" t="n">
        <f aca="false">F5+F7+F8+F9</f>
        <v>-4430</v>
      </c>
      <c r="G10" s="149" t="n">
        <f aca="false">G5+G7+G8+G9</f>
        <v>-4292</v>
      </c>
      <c r="H10" s="149" t="n">
        <f aca="false">H5+H7+H8+H9</f>
        <v>-5188</v>
      </c>
      <c r="I10" s="149" t="n">
        <f aca="false">I5+I7+I8+I9</f>
        <v>-4661</v>
      </c>
      <c r="J10" s="149" t="n">
        <f aca="false">J5+J7+J8+J9</f>
        <v>-3428</v>
      </c>
      <c r="K10" s="149" t="n">
        <f aca="false">K5+K7+K8+K9</f>
        <v>-2399</v>
      </c>
      <c r="L10" s="149" t="n">
        <f aca="false">L5+L7+L8+L9</f>
        <v>-2400</v>
      </c>
      <c r="M10" s="149" t="n">
        <f aca="false">M5+M7+M8+M9</f>
        <v>-1569</v>
      </c>
      <c r="N10" s="149" t="n">
        <f aca="false">N5+N7+N8+N9</f>
        <v>558.53</v>
      </c>
      <c r="O10" s="149" t="n">
        <f aca="false">O5+O7+O8+O9</f>
        <v>355.009</v>
      </c>
      <c r="P10" s="149" t="n">
        <f aca="false">P5+P7+P8+P9</f>
        <v>1872.148</v>
      </c>
      <c r="Q10" s="149" t="n">
        <f aca="false">Q5+Q7+Q8+Q9</f>
        <v>3078.234</v>
      </c>
      <c r="R10" s="149" t="n">
        <f aca="false">R5+R7+R8+R9</f>
        <v>5123.077</v>
      </c>
      <c r="S10" s="149" t="n">
        <f aca="false">S5+S7+S8+S9</f>
        <v>6719.475</v>
      </c>
      <c r="T10" s="150" t="n">
        <f aca="false">SUM(B10:S10)</f>
        <v>-25770.527</v>
      </c>
    </row>
    <row r="11" customFormat="false" ht="4.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customFormat="false" ht="16.5" hidden="false" customHeight="true" outlineLevel="0" collapsed="false">
      <c r="A12" s="146" t="s">
        <v>480</v>
      </c>
      <c r="B12" s="146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</row>
    <row r="13" customFormat="false" ht="15" hidden="false" customHeight="true" outlineLevel="0" collapsed="false">
      <c r="A13" s="41" t="s">
        <v>481</v>
      </c>
      <c r="B13" s="147" t="n">
        <v>0</v>
      </c>
      <c r="C13" s="147" t="n">
        <v>0</v>
      </c>
      <c r="D13" s="55" t="n">
        <v>-5400</v>
      </c>
      <c r="E13" s="147" t="n">
        <v>0</v>
      </c>
      <c r="F13" s="147" t="n">
        <v>0</v>
      </c>
      <c r="G13" s="147" t="n">
        <v>0</v>
      </c>
      <c r="H13" s="147" t="n">
        <v>0</v>
      </c>
      <c r="I13" s="147" t="n">
        <v>0</v>
      </c>
      <c r="J13" s="147" t="n">
        <v>0</v>
      </c>
      <c r="K13" s="147" t="n">
        <v>0</v>
      </c>
      <c r="L13" s="55" t="n">
        <v>-3600</v>
      </c>
      <c r="M13" s="147" t="n">
        <v>0</v>
      </c>
      <c r="N13" s="147" t="n">
        <v>0</v>
      </c>
      <c r="O13" s="147" t="n">
        <v>0</v>
      </c>
      <c r="P13" s="147" t="n">
        <v>0</v>
      </c>
      <c r="Q13" s="147" t="n">
        <v>0</v>
      </c>
      <c r="R13" s="147" t="n">
        <v>0</v>
      </c>
      <c r="S13" s="147" t="n">
        <v>0</v>
      </c>
      <c r="T13" s="72" t="n">
        <f aca="false">SUM(B13:S13)</f>
        <v>-9000</v>
      </c>
    </row>
    <row r="14" customFormat="false" ht="18.75" hidden="false" customHeight="true" outlineLevel="0" collapsed="false">
      <c r="A14" s="148" t="s">
        <v>482</v>
      </c>
      <c r="B14" s="149" t="n">
        <f aca="false">B13</f>
        <v>0</v>
      </c>
      <c r="C14" s="149" t="n">
        <f aca="false">C13</f>
        <v>0</v>
      </c>
      <c r="D14" s="149" t="n">
        <f aca="false">D13</f>
        <v>-5400</v>
      </c>
      <c r="E14" s="149" t="n">
        <f aca="false">E13</f>
        <v>0</v>
      </c>
      <c r="F14" s="149" t="n">
        <f aca="false">F13</f>
        <v>0</v>
      </c>
      <c r="G14" s="149" t="n">
        <f aca="false">G13</f>
        <v>0</v>
      </c>
      <c r="H14" s="149" t="n">
        <f aca="false">H13</f>
        <v>0</v>
      </c>
      <c r="I14" s="149" t="n">
        <f aca="false">I13</f>
        <v>0</v>
      </c>
      <c r="J14" s="149" t="n">
        <f aca="false">J13</f>
        <v>0</v>
      </c>
      <c r="K14" s="149" t="n">
        <f aca="false">K13</f>
        <v>0</v>
      </c>
      <c r="L14" s="149" t="n">
        <f aca="false">L13</f>
        <v>-3600</v>
      </c>
      <c r="M14" s="149" t="n">
        <f aca="false">M13</f>
        <v>0</v>
      </c>
      <c r="N14" s="149" t="n">
        <f aca="false">N13</f>
        <v>0</v>
      </c>
      <c r="O14" s="149" t="n">
        <f aca="false">O13</f>
        <v>0</v>
      </c>
      <c r="P14" s="149" t="n">
        <f aca="false">P13</f>
        <v>0</v>
      </c>
      <c r="Q14" s="149" t="n">
        <f aca="false">Q13</f>
        <v>0</v>
      </c>
      <c r="R14" s="149" t="n">
        <f aca="false">R13</f>
        <v>0</v>
      </c>
      <c r="S14" s="149" t="n">
        <f aca="false">S13</f>
        <v>0</v>
      </c>
      <c r="T14" s="150" t="n">
        <f aca="false">SUM(B14:S14)</f>
        <v>-9000</v>
      </c>
    </row>
    <row r="15" customFormat="false" ht="4.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customFormat="false" ht="16.5" hidden="false" customHeight="true" outlineLevel="0" collapsed="false">
      <c r="A16" s="146" t="s">
        <v>483</v>
      </c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</row>
    <row r="17" customFormat="false" ht="15" hidden="false" customHeight="true" outlineLevel="0" collapsed="false">
      <c r="A17" s="41" t="s">
        <v>484</v>
      </c>
      <c r="B17" s="147" t="n">
        <v>0</v>
      </c>
      <c r="C17" s="147" t="n">
        <v>0</v>
      </c>
      <c r="D17" s="55" t="n">
        <v>75000</v>
      </c>
      <c r="E17" s="147" t="n">
        <v>0</v>
      </c>
      <c r="F17" s="147" t="n">
        <v>0</v>
      </c>
      <c r="G17" s="147" t="n">
        <v>0</v>
      </c>
      <c r="H17" s="147" t="n">
        <v>0</v>
      </c>
      <c r="I17" s="147" t="n">
        <v>0</v>
      </c>
      <c r="J17" s="147" t="n">
        <v>0</v>
      </c>
      <c r="K17" s="147" t="n">
        <v>0</v>
      </c>
      <c r="L17" s="147" t="n">
        <v>0</v>
      </c>
      <c r="M17" s="147" t="n">
        <v>0</v>
      </c>
      <c r="N17" s="147" t="n">
        <v>0</v>
      </c>
      <c r="O17" s="147" t="n">
        <v>0</v>
      </c>
      <c r="P17" s="147" t="n">
        <v>0</v>
      </c>
      <c r="Q17" s="147" t="n">
        <v>0</v>
      </c>
      <c r="R17" s="147" t="n">
        <v>0</v>
      </c>
      <c r="S17" s="147" t="n">
        <v>0</v>
      </c>
      <c r="T17" s="72" t="n">
        <f aca="false">SUM(B17:S17)</f>
        <v>75000</v>
      </c>
    </row>
    <row r="18" customFormat="false" ht="15" hidden="false" customHeight="true" outlineLevel="0" collapsed="false">
      <c r="A18" s="41" t="s">
        <v>485</v>
      </c>
      <c r="B18" s="55" t="n">
        <v>10000</v>
      </c>
      <c r="C18" s="55" t="n">
        <v>0</v>
      </c>
      <c r="D18" s="55" t="n">
        <v>0</v>
      </c>
      <c r="E18" s="55" t="n">
        <v>0</v>
      </c>
      <c r="F18" s="55" t="n">
        <v>0</v>
      </c>
      <c r="G18" s="55" t="n">
        <v>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72" t="n">
        <f aca="false">SUM(B18:S18)</f>
        <v>10000</v>
      </c>
    </row>
    <row r="19" customFormat="false" ht="18.75" hidden="false" customHeight="true" outlineLevel="0" collapsed="false">
      <c r="A19" s="148" t="s">
        <v>486</v>
      </c>
      <c r="B19" s="149" t="n">
        <f aca="false">B17+B18</f>
        <v>10000</v>
      </c>
      <c r="C19" s="149" t="n">
        <f aca="false">C17+C18</f>
        <v>0</v>
      </c>
      <c r="D19" s="149" t="n">
        <f aca="false">D17+D18</f>
        <v>75000</v>
      </c>
      <c r="E19" s="149" t="n">
        <f aca="false">E17+E18</f>
        <v>0</v>
      </c>
      <c r="F19" s="149" t="n">
        <f aca="false">F17+F18</f>
        <v>0</v>
      </c>
      <c r="G19" s="149" t="n">
        <f aca="false">G17+G18</f>
        <v>0</v>
      </c>
      <c r="H19" s="149" t="n">
        <f aca="false">H17+H18</f>
        <v>0</v>
      </c>
      <c r="I19" s="149" t="n">
        <f aca="false">I17+I18</f>
        <v>0</v>
      </c>
      <c r="J19" s="149" t="n">
        <f aca="false">J17+J18</f>
        <v>0</v>
      </c>
      <c r="K19" s="149" t="n">
        <f aca="false">K17+K18</f>
        <v>0</v>
      </c>
      <c r="L19" s="149" t="n">
        <f aca="false">L17+L18</f>
        <v>0</v>
      </c>
      <c r="M19" s="149" t="n">
        <f aca="false">M17+M18</f>
        <v>0</v>
      </c>
      <c r="N19" s="149" t="n">
        <f aca="false">N17+N18</f>
        <v>0</v>
      </c>
      <c r="O19" s="149" t="n">
        <f aca="false">O17+O18</f>
        <v>0</v>
      </c>
      <c r="P19" s="149" t="n">
        <f aca="false">P17+P18</f>
        <v>0</v>
      </c>
      <c r="Q19" s="149" t="n">
        <f aca="false">Q17+Q18</f>
        <v>0</v>
      </c>
      <c r="R19" s="149" t="n">
        <f aca="false">R17+R18</f>
        <v>0</v>
      </c>
      <c r="S19" s="149" t="n">
        <f aca="false">S17+S18</f>
        <v>0</v>
      </c>
      <c r="T19" s="150" t="n">
        <f aca="false">SUM(B19:S19)</f>
        <v>85000</v>
      </c>
    </row>
    <row r="20" customFormat="false" ht="4.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customFormat="false" ht="16.5" hidden="false" customHeight="true" outlineLevel="0" collapsed="false">
      <c r="A21" s="151" t="s">
        <v>487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</row>
    <row r="22" customFormat="false" ht="18.75" hidden="false" customHeight="true" outlineLevel="0" collapsed="false">
      <c r="A22" s="152" t="s">
        <v>488</v>
      </c>
      <c r="B22" s="153" t="n">
        <f aca="false">B10+B14+B19</f>
        <v>6067</v>
      </c>
      <c r="C22" s="153" t="n">
        <f aca="false">C10+C14+C19</f>
        <v>-3883</v>
      </c>
      <c r="D22" s="153" t="n">
        <f aca="false">D10+D14+D19</f>
        <v>66170</v>
      </c>
      <c r="E22" s="153" t="n">
        <f aca="false">E10+E14+E19</f>
        <v>-3864</v>
      </c>
      <c r="F22" s="153" t="n">
        <f aca="false">F10+F14+F19</f>
        <v>-4430</v>
      </c>
      <c r="G22" s="153" t="n">
        <f aca="false">G10+G14+G19</f>
        <v>-4292</v>
      </c>
      <c r="H22" s="153" t="n">
        <f aca="false">H10+H14+H19</f>
        <v>-5188</v>
      </c>
      <c r="I22" s="153" t="n">
        <f aca="false">I10+I14+I19</f>
        <v>-4661</v>
      </c>
      <c r="J22" s="153" t="n">
        <f aca="false">J10+J14+J19</f>
        <v>-3428</v>
      </c>
      <c r="K22" s="153" t="n">
        <f aca="false">K10+K14+K19</f>
        <v>-2399</v>
      </c>
      <c r="L22" s="153" t="n">
        <f aca="false">L10+L14+L19</f>
        <v>-6000</v>
      </c>
      <c r="M22" s="153" t="n">
        <f aca="false">M10+M14+M19</f>
        <v>-1569</v>
      </c>
      <c r="N22" s="153" t="n">
        <f aca="false">N10+N14+N19</f>
        <v>558.53</v>
      </c>
      <c r="O22" s="153" t="n">
        <f aca="false">O10+O14+O19</f>
        <v>355.009</v>
      </c>
      <c r="P22" s="153" t="n">
        <f aca="false">P10+P14+P19</f>
        <v>1872.148</v>
      </c>
      <c r="Q22" s="153" t="n">
        <f aca="false">Q10+Q14+Q19</f>
        <v>3078.234</v>
      </c>
      <c r="R22" s="153" t="n">
        <f aca="false">R10+R14+R19</f>
        <v>5123.077</v>
      </c>
      <c r="S22" s="153" t="n">
        <f aca="false">S10+S14+S19</f>
        <v>6719.475</v>
      </c>
      <c r="T22" s="154" t="n">
        <f aca="false">SUM(B22:S22)</f>
        <v>50229.473</v>
      </c>
    </row>
    <row r="23" customFormat="false" ht="15" hidden="false" customHeight="true" outlineLevel="0" collapsed="false">
      <c r="A23" s="90" t="s">
        <v>489</v>
      </c>
      <c r="B23" s="91" t="n">
        <v>0</v>
      </c>
      <c r="C23" s="91" t="n">
        <f aca="false">B24</f>
        <v>6067</v>
      </c>
      <c r="D23" s="91" t="n">
        <f aca="false">C24</f>
        <v>2184</v>
      </c>
      <c r="E23" s="91" t="n">
        <f aca="false">D24</f>
        <v>68354</v>
      </c>
      <c r="F23" s="91" t="n">
        <f aca="false">E24</f>
        <v>64490</v>
      </c>
      <c r="G23" s="91" t="n">
        <f aca="false">F24</f>
        <v>60060</v>
      </c>
      <c r="H23" s="91" t="n">
        <f aca="false">G24</f>
        <v>55768</v>
      </c>
      <c r="I23" s="91" t="n">
        <f aca="false">H24</f>
        <v>50580</v>
      </c>
      <c r="J23" s="91" t="n">
        <f aca="false">I24</f>
        <v>45919</v>
      </c>
      <c r="K23" s="91" t="n">
        <f aca="false">J24</f>
        <v>42491</v>
      </c>
      <c r="L23" s="91" t="n">
        <f aca="false">K24</f>
        <v>40092</v>
      </c>
      <c r="M23" s="91" t="n">
        <f aca="false">L24</f>
        <v>34092</v>
      </c>
      <c r="N23" s="91" t="n">
        <f aca="false">M24</f>
        <v>32523</v>
      </c>
      <c r="O23" s="91" t="n">
        <f aca="false">N24</f>
        <v>33081.53</v>
      </c>
      <c r="P23" s="91" t="n">
        <f aca="false">O24</f>
        <v>33436.539</v>
      </c>
      <c r="Q23" s="91" t="n">
        <f aca="false">P24</f>
        <v>35308.687</v>
      </c>
      <c r="R23" s="91" t="n">
        <f aca="false">Q24</f>
        <v>38386.921</v>
      </c>
      <c r="S23" s="91" t="n">
        <f aca="false">R24</f>
        <v>43509.998</v>
      </c>
      <c r="T23" s="72" t="n">
        <f aca="false">SUM(B23:S23)</f>
        <v>686343.675</v>
      </c>
    </row>
    <row r="24" customFormat="false" ht="21.75" hidden="false" customHeight="true" outlineLevel="0" collapsed="false">
      <c r="A24" s="155" t="s">
        <v>490</v>
      </c>
      <c r="B24" s="156" t="n">
        <f aca="false">B23+B22</f>
        <v>6067</v>
      </c>
      <c r="C24" s="156" t="n">
        <f aca="false">C23+C22</f>
        <v>2184</v>
      </c>
      <c r="D24" s="156" t="n">
        <f aca="false">D23+D22</f>
        <v>68354</v>
      </c>
      <c r="E24" s="156" t="n">
        <f aca="false">E23+E22</f>
        <v>64490</v>
      </c>
      <c r="F24" s="156" t="n">
        <f aca="false">F23+F22</f>
        <v>60060</v>
      </c>
      <c r="G24" s="156" t="n">
        <f aca="false">G23+G22</f>
        <v>55768</v>
      </c>
      <c r="H24" s="156" t="n">
        <f aca="false">H23+H22</f>
        <v>50580</v>
      </c>
      <c r="I24" s="156" t="n">
        <f aca="false">I23+I22</f>
        <v>45919</v>
      </c>
      <c r="J24" s="156" t="n">
        <f aca="false">J23+J22</f>
        <v>42491</v>
      </c>
      <c r="K24" s="156" t="n">
        <f aca="false">K23+K22</f>
        <v>40092</v>
      </c>
      <c r="L24" s="156" t="n">
        <f aca="false">L23+L22</f>
        <v>34092</v>
      </c>
      <c r="M24" s="156" t="n">
        <f aca="false">M23+M22</f>
        <v>32523</v>
      </c>
      <c r="N24" s="156" t="n">
        <f aca="false">N23+N22</f>
        <v>33081.53</v>
      </c>
      <c r="O24" s="156" t="n">
        <f aca="false">O23+O22</f>
        <v>33436.539</v>
      </c>
      <c r="P24" s="156" t="n">
        <f aca="false">P23+P22</f>
        <v>35308.687</v>
      </c>
      <c r="Q24" s="156" t="n">
        <f aca="false">Q23+Q22</f>
        <v>38386.921</v>
      </c>
      <c r="R24" s="156" t="n">
        <f aca="false">R23+R22</f>
        <v>43509.998</v>
      </c>
      <c r="S24" s="156" t="n">
        <f aca="false">S23+S22</f>
        <v>50229.473</v>
      </c>
      <c r="T24" s="157" t="n">
        <f aca="false">SUM(B24:S24)</f>
        <v>736573.148</v>
      </c>
    </row>
    <row r="25" customFormat="false" ht="4.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customFormat="false" ht="16.5" hidden="false" customHeight="true" outlineLevel="0" collapsed="false">
      <c r="A26" s="6" t="s">
        <v>491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customFormat="false" ht="15" hidden="false" customHeight="true" outlineLevel="0" collapsed="false">
      <c r="A27" s="41" t="s">
        <v>492</v>
      </c>
      <c r="B27" s="50" t="n">
        <f aca="false">B22</f>
        <v>6067</v>
      </c>
      <c r="C27" s="50" t="n">
        <f aca="false">C22</f>
        <v>-3883</v>
      </c>
      <c r="D27" s="50" t="n">
        <f aca="false">D22</f>
        <v>66170</v>
      </c>
      <c r="E27" s="50" t="n">
        <f aca="false">E22</f>
        <v>-3864</v>
      </c>
      <c r="F27" s="50" t="n">
        <f aca="false">F22</f>
        <v>-4430</v>
      </c>
      <c r="G27" s="50" t="n">
        <f aca="false">G22</f>
        <v>-4292</v>
      </c>
      <c r="H27" s="50" t="n">
        <f aca="false">H22</f>
        <v>-5188</v>
      </c>
      <c r="I27" s="50" t="n">
        <f aca="false">I22</f>
        <v>-4661</v>
      </c>
      <c r="J27" s="50" t="n">
        <f aca="false">J22</f>
        <v>-3428</v>
      </c>
      <c r="K27" s="50" t="n">
        <f aca="false">K22</f>
        <v>-2399</v>
      </c>
      <c r="L27" s="50" t="n">
        <f aca="false">L22</f>
        <v>-6000</v>
      </c>
      <c r="M27" s="50" t="n">
        <f aca="false">M22</f>
        <v>-1569</v>
      </c>
      <c r="N27" s="50" t="n">
        <f aca="false">N22</f>
        <v>558.53</v>
      </c>
      <c r="O27" s="50" t="n">
        <f aca="false">O22</f>
        <v>355.009</v>
      </c>
      <c r="P27" s="50" t="n">
        <f aca="false">P22</f>
        <v>1872.148</v>
      </c>
      <c r="Q27" s="50" t="n">
        <f aca="false">Q22</f>
        <v>3078.234</v>
      </c>
      <c r="R27" s="50" t="n">
        <f aca="false">R22</f>
        <v>5123.077</v>
      </c>
      <c r="S27" s="50" t="n">
        <f aca="false">S22</f>
        <v>6719.475</v>
      </c>
      <c r="T27" s="72" t="n">
        <f aca="false">SUM(B27:S27)</f>
        <v>50229.473</v>
      </c>
    </row>
    <row r="28" customFormat="false" ht="18" hidden="false" customHeight="true" outlineLevel="0" collapsed="false">
      <c r="A28" s="158" t="s">
        <v>493</v>
      </c>
      <c r="B28" s="159" t="n">
        <f aca="false">IF(B27&lt;0,-B24/B27,IF(B24&gt;0,99,0))</f>
        <v>99</v>
      </c>
      <c r="C28" s="159" t="n">
        <f aca="false">IF(C27&lt;0,-C24/C27,IF(C24&gt;0,99,0))</f>
        <v>0.562451712593356</v>
      </c>
      <c r="D28" s="159" t="n">
        <f aca="false">IF(D27&lt;0,-D24/D27,IF(D24&gt;0,99,0))</f>
        <v>99</v>
      </c>
      <c r="E28" s="159" t="n">
        <f aca="false">IF(E27&lt;0,-E24/E27,IF(E24&gt;0,99,0))</f>
        <v>16.6899585921325</v>
      </c>
      <c r="F28" s="159" t="n">
        <f aca="false">IF(F27&lt;0,-F24/F27,IF(F24&gt;0,99,0))</f>
        <v>13.5575620767494</v>
      </c>
      <c r="G28" s="159" t="n">
        <f aca="false">IF(G27&lt;0,-G24/G27,IF(G24&gt;0,99,0))</f>
        <v>12.9934762348555</v>
      </c>
      <c r="H28" s="159" t="n">
        <f aca="false">IF(H27&lt;0,-H24/H27,IF(H24&gt;0,99,0))</f>
        <v>9.74942174248265</v>
      </c>
      <c r="I28" s="159" t="n">
        <f aca="false">IF(I27&lt;0,-I24/I27,IF(I24&gt;0,99,0))</f>
        <v>9.85174855181292</v>
      </c>
      <c r="J28" s="159" t="n">
        <f aca="false">IF(J27&lt;0,-J24/J27,IF(J24&gt;0,99,0))</f>
        <v>12.3952742123687</v>
      </c>
      <c r="K28" s="159" t="n">
        <f aca="false">IF(K27&lt;0,-K24/K27,IF(K24&gt;0,99,0))</f>
        <v>16.7119633180492</v>
      </c>
      <c r="L28" s="159" t="n">
        <f aca="false">IF(L27&lt;0,-L24/L27,IF(L24&gt;0,99,0))</f>
        <v>5.682</v>
      </c>
      <c r="M28" s="159" t="n">
        <f aca="false">IF(M27&lt;0,-M24/M27,IF(M24&gt;0,99,0))</f>
        <v>20.7284894837476</v>
      </c>
      <c r="N28" s="159" t="n">
        <f aca="false">IF(N27&lt;0,-N24/N27,IF(N24&gt;0,99,0))</f>
        <v>99</v>
      </c>
      <c r="O28" s="159" t="n">
        <f aca="false">IF(O27&lt;0,-O24/O27,IF(O24&gt;0,99,0))</f>
        <v>99</v>
      </c>
      <c r="P28" s="159" t="n">
        <f aca="false">IF(P27&lt;0,-P24/P27,IF(P24&gt;0,99,0))</f>
        <v>99</v>
      </c>
      <c r="Q28" s="159" t="n">
        <f aca="false">IF(Q27&lt;0,-Q24/Q27,IF(Q24&gt;0,99,0))</f>
        <v>99</v>
      </c>
      <c r="R28" s="159" t="n">
        <f aca="false">IF(R27&lt;0,-R24/R27,IF(R24&gt;0,99,0))</f>
        <v>99</v>
      </c>
      <c r="S28" s="159" t="n">
        <f aca="false">IF(S27&lt;0,-S24/S27,IF(S24&gt;0,99,0))</f>
        <v>99</v>
      </c>
      <c r="T28" s="160" t="n">
        <f aca="false">SUM(B28:S28)</f>
        <v>910.922345924792</v>
      </c>
    </row>
    <row r="29" customFormat="false" ht="15" hidden="false" customHeight="true" outlineLevel="0" collapsed="false">
      <c r="A29" s="128" t="s">
        <v>494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</row>
    <row r="30" customFormat="false" ht="15" hidden="false" customHeight="true" outlineLevel="0" collapsed="false">
      <c r="A30" s="161" t="s">
        <v>495</v>
      </c>
      <c r="B30" s="161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</row>
  </sheetData>
  <mergeCells count="14">
    <mergeCell ref="A1:T1"/>
    <mergeCell ref="A2:T2"/>
    <mergeCell ref="A4:T4"/>
    <mergeCell ref="A6:T6"/>
    <mergeCell ref="A11:T11"/>
    <mergeCell ref="A12:T12"/>
    <mergeCell ref="A15:T15"/>
    <mergeCell ref="A16:T16"/>
    <mergeCell ref="A20:T20"/>
    <mergeCell ref="A21:T21"/>
    <mergeCell ref="A25:T25"/>
    <mergeCell ref="A26:T26"/>
    <mergeCell ref="A29:T29"/>
    <mergeCell ref="A30:T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9" min="2" style="1" width="11"/>
    <col collapsed="false" customWidth="true" hidden="false" outlineLevel="0" max="20" min="20" style="1" width="13"/>
  </cols>
  <sheetData>
    <row r="1" customFormat="false" ht="25.5" hidden="false" customHeight="true" outlineLevel="0" collapsed="false">
      <c r="A1" s="2" t="s">
        <v>496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customFormat="false" ht="13.5" hidden="false" customHeight="true" outlineLevel="0" collapsed="false">
      <c r="A2" s="3" t="s">
        <v>497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8" hidden="false" customHeight="true" outlineLevel="0" collapsed="false">
      <c r="A3" s="4" t="s">
        <v>112</v>
      </c>
      <c r="B3" s="5" t="s">
        <v>113</v>
      </c>
      <c r="C3" s="5" t="s">
        <v>114</v>
      </c>
      <c r="D3" s="5" t="s">
        <v>115</v>
      </c>
      <c r="E3" s="5" t="s">
        <v>116</v>
      </c>
      <c r="F3" s="5" t="s">
        <v>117</v>
      </c>
      <c r="G3" s="5" t="s">
        <v>118</v>
      </c>
      <c r="H3" s="5" t="s">
        <v>119</v>
      </c>
      <c r="I3" s="5" t="s">
        <v>120</v>
      </c>
      <c r="J3" s="5" t="s">
        <v>121</v>
      </c>
      <c r="K3" s="5" t="s">
        <v>122</v>
      </c>
      <c r="L3" s="5" t="s">
        <v>123</v>
      </c>
      <c r="M3" s="5" t="s">
        <v>124</v>
      </c>
      <c r="N3" s="5" t="s">
        <v>125</v>
      </c>
      <c r="O3" s="5" t="s">
        <v>126</v>
      </c>
      <c r="P3" s="5" t="s">
        <v>127</v>
      </c>
      <c r="Q3" s="5" t="s">
        <v>128</v>
      </c>
      <c r="R3" s="5" t="s">
        <v>129</v>
      </c>
      <c r="S3" s="5" t="s">
        <v>130</v>
      </c>
      <c r="T3" s="5" t="s">
        <v>131</v>
      </c>
    </row>
    <row r="4" customFormat="false" ht="16.5" hidden="false" customHeight="true" outlineLevel="0" collapsed="false">
      <c r="A4" s="151" t="s">
        <v>498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</row>
    <row r="5" customFormat="false" ht="16.5" hidden="false" customHeight="true" outlineLevel="0" collapsed="false">
      <c r="A5" s="6" t="s">
        <v>499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customFormat="false" ht="15" hidden="false" customHeight="true" outlineLevel="0" collapsed="false">
      <c r="A6" s="90" t="s">
        <v>500</v>
      </c>
      <c r="B6" s="123" t="n">
        <v>0</v>
      </c>
      <c r="C6" s="123" t="n">
        <v>0</v>
      </c>
      <c r="D6" s="91" t="n">
        <v>5400</v>
      </c>
      <c r="E6" s="91" t="n">
        <v>5400</v>
      </c>
      <c r="F6" s="91" t="n">
        <v>5400</v>
      </c>
      <c r="G6" s="91" t="n">
        <v>5400</v>
      </c>
      <c r="H6" s="91" t="n">
        <v>5400</v>
      </c>
      <c r="I6" s="91" t="n">
        <v>5400</v>
      </c>
      <c r="J6" s="91" t="n">
        <v>5400</v>
      </c>
      <c r="K6" s="91" t="n">
        <v>5400</v>
      </c>
      <c r="L6" s="91" t="n">
        <v>9000</v>
      </c>
      <c r="M6" s="91" t="n">
        <v>9000</v>
      </c>
      <c r="N6" s="91" t="n">
        <v>9000</v>
      </c>
      <c r="O6" s="91" t="n">
        <v>9000</v>
      </c>
      <c r="P6" s="91" t="n">
        <v>9000</v>
      </c>
      <c r="Q6" s="91" t="n">
        <v>9000</v>
      </c>
      <c r="R6" s="91" t="n">
        <v>9000</v>
      </c>
      <c r="S6" s="91" t="n">
        <v>9000</v>
      </c>
      <c r="T6" s="72" t="n">
        <f aca="false">SUM(B6:S6)</f>
        <v>115200</v>
      </c>
    </row>
    <row r="7" customFormat="false" ht="15" hidden="false" customHeight="true" outlineLevel="0" collapsed="false">
      <c r="A7" s="162" t="s">
        <v>501</v>
      </c>
      <c r="B7" s="163" t="n">
        <v>-200</v>
      </c>
      <c r="C7" s="163" t="n">
        <v>-400</v>
      </c>
      <c r="D7" s="163" t="n">
        <v>-600</v>
      </c>
      <c r="E7" s="163" t="n">
        <v>-800</v>
      </c>
      <c r="F7" s="163" t="n">
        <v>-1000</v>
      </c>
      <c r="G7" s="163" t="n">
        <v>-1200</v>
      </c>
      <c r="H7" s="163" t="n">
        <v>-1400</v>
      </c>
      <c r="I7" s="163" t="n">
        <v>-1600</v>
      </c>
      <c r="J7" s="163" t="n">
        <v>-1800</v>
      </c>
      <c r="K7" s="163" t="n">
        <v>-2000</v>
      </c>
      <c r="L7" s="163" t="n">
        <v>-2200</v>
      </c>
      <c r="M7" s="163" t="n">
        <v>-2400</v>
      </c>
      <c r="N7" s="163" t="n">
        <v>-2600</v>
      </c>
      <c r="O7" s="163" t="n">
        <v>-2800</v>
      </c>
      <c r="P7" s="163" t="n">
        <v>-3000</v>
      </c>
      <c r="Q7" s="163" t="n">
        <v>-3200</v>
      </c>
      <c r="R7" s="163" t="n">
        <v>-3400</v>
      </c>
      <c r="S7" s="163" t="n">
        <v>-3600</v>
      </c>
      <c r="T7" s="72" t="n">
        <f aca="false">SUM(B7:S7)</f>
        <v>-34200</v>
      </c>
    </row>
    <row r="8" customFormat="false" ht="15" hidden="false" customHeight="true" outlineLevel="0" collapsed="false">
      <c r="A8" s="41" t="s">
        <v>502</v>
      </c>
      <c r="B8" s="50" t="n">
        <f aca="false">MAX(0,B6+B7)</f>
        <v>0</v>
      </c>
      <c r="C8" s="50" t="n">
        <f aca="false">MAX(0,C6+C7)</f>
        <v>0</v>
      </c>
      <c r="D8" s="50" t="n">
        <f aca="false">MAX(0,D6+D7)</f>
        <v>4800</v>
      </c>
      <c r="E8" s="50" t="n">
        <f aca="false">MAX(0,E6+E7)</f>
        <v>4600</v>
      </c>
      <c r="F8" s="50" t="n">
        <f aca="false">MAX(0,F6+F7)</f>
        <v>4400</v>
      </c>
      <c r="G8" s="50" t="n">
        <f aca="false">MAX(0,G6+G7)</f>
        <v>4200</v>
      </c>
      <c r="H8" s="50" t="n">
        <f aca="false">MAX(0,H6+H7)</f>
        <v>4000</v>
      </c>
      <c r="I8" s="50" t="n">
        <f aca="false">MAX(0,I6+I7)</f>
        <v>3800</v>
      </c>
      <c r="J8" s="50" t="n">
        <f aca="false">MAX(0,J6+J7)</f>
        <v>3600</v>
      </c>
      <c r="K8" s="50" t="n">
        <f aca="false">MAX(0,K6+K7)</f>
        <v>3400</v>
      </c>
      <c r="L8" s="50" t="n">
        <f aca="false">MAX(0,L6+L7)</f>
        <v>6800</v>
      </c>
      <c r="M8" s="50" t="n">
        <f aca="false">MAX(0,M6+M7)</f>
        <v>6600</v>
      </c>
      <c r="N8" s="50" t="n">
        <f aca="false">MAX(0,N6+N7)</f>
        <v>6400</v>
      </c>
      <c r="O8" s="50" t="n">
        <f aca="false">MAX(0,O6+O7)</f>
        <v>6200</v>
      </c>
      <c r="P8" s="50" t="n">
        <f aca="false">MAX(0,P6+P7)</f>
        <v>6000</v>
      </c>
      <c r="Q8" s="50" t="n">
        <f aca="false">MAX(0,Q6+Q7)</f>
        <v>5800</v>
      </c>
      <c r="R8" s="50" t="n">
        <f aca="false">MAX(0,R6+R7)</f>
        <v>5600</v>
      </c>
      <c r="S8" s="50" t="n">
        <f aca="false">MAX(0,S6+S7)</f>
        <v>5400</v>
      </c>
      <c r="T8" s="72" t="n">
        <f aca="false">SUM(B8:S8)</f>
        <v>81600</v>
      </c>
    </row>
    <row r="9" customFormat="false" ht="16.5" hidden="false" customHeight="true" outlineLevel="0" collapsed="false">
      <c r="A9" s="6" t="s">
        <v>503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customFormat="false" ht="15" hidden="false" customHeight="true" outlineLevel="0" collapsed="false">
      <c r="A10" s="41" t="s">
        <v>504</v>
      </c>
      <c r="B10" s="50" t="n">
        <f aca="false">'Budget di Cassa'!B24</f>
        <v>6067</v>
      </c>
      <c r="C10" s="50" t="n">
        <f aca="false">'Budget di Cassa'!C24</f>
        <v>2184</v>
      </c>
      <c r="D10" s="50" t="n">
        <f aca="false">'Budget di Cassa'!D24</f>
        <v>68354</v>
      </c>
      <c r="E10" s="50" t="n">
        <f aca="false">'Budget di Cassa'!E24</f>
        <v>64490</v>
      </c>
      <c r="F10" s="50" t="n">
        <f aca="false">'Budget di Cassa'!F24</f>
        <v>60060</v>
      </c>
      <c r="G10" s="50" t="n">
        <f aca="false">'Budget di Cassa'!G24</f>
        <v>55768</v>
      </c>
      <c r="H10" s="50" t="n">
        <f aca="false">'Budget di Cassa'!H24</f>
        <v>50580</v>
      </c>
      <c r="I10" s="50" t="n">
        <f aca="false">'Budget di Cassa'!I24</f>
        <v>45919</v>
      </c>
      <c r="J10" s="50" t="n">
        <f aca="false">'Budget di Cassa'!J24</f>
        <v>42491</v>
      </c>
      <c r="K10" s="50" t="n">
        <f aca="false">'Budget di Cassa'!K24</f>
        <v>40092</v>
      </c>
      <c r="L10" s="50" t="n">
        <f aca="false">'Budget di Cassa'!L24</f>
        <v>34092</v>
      </c>
      <c r="M10" s="50" t="n">
        <f aca="false">'Budget di Cassa'!M24</f>
        <v>32523</v>
      </c>
      <c r="N10" s="50" t="n">
        <f aca="false">'Budget di Cassa'!N24</f>
        <v>33081.53</v>
      </c>
      <c r="O10" s="50" t="n">
        <f aca="false">'Budget di Cassa'!O24</f>
        <v>33436.539</v>
      </c>
      <c r="P10" s="50" t="n">
        <f aca="false">'Budget di Cassa'!P24</f>
        <v>35308.687</v>
      </c>
      <c r="Q10" s="50" t="n">
        <f aca="false">'Budget di Cassa'!Q24</f>
        <v>38386.921</v>
      </c>
      <c r="R10" s="50" t="n">
        <f aca="false">'Budget di Cassa'!R24</f>
        <v>43509.998</v>
      </c>
      <c r="S10" s="50" t="n">
        <f aca="false">'Budget di Cassa'!S24</f>
        <v>50229.473</v>
      </c>
      <c r="T10" s="72" t="n">
        <f aca="false">SUM(B10:S10)</f>
        <v>736573.148</v>
      </c>
    </row>
    <row r="11" customFormat="false" ht="15" hidden="false" customHeight="true" outlineLevel="0" collapsed="false">
      <c r="A11" s="41" t="s">
        <v>505</v>
      </c>
      <c r="B11" s="147" t="n">
        <v>0</v>
      </c>
      <c r="C11" s="147" t="n">
        <v>0</v>
      </c>
      <c r="D11" s="55" t="n">
        <v>30</v>
      </c>
      <c r="E11" s="55" t="n">
        <v>89</v>
      </c>
      <c r="F11" s="55" t="n">
        <v>149</v>
      </c>
      <c r="G11" s="55" t="n">
        <v>238</v>
      </c>
      <c r="H11" s="55" t="n">
        <v>298</v>
      </c>
      <c r="I11" s="55" t="n">
        <v>388</v>
      </c>
      <c r="J11" s="55" t="n">
        <v>447</v>
      </c>
      <c r="K11" s="55" t="n">
        <v>537</v>
      </c>
      <c r="L11" s="55" t="n">
        <v>596</v>
      </c>
      <c r="M11" s="55" t="n">
        <v>686</v>
      </c>
      <c r="N11" s="55" t="n">
        <v>805</v>
      </c>
      <c r="O11" s="55" t="n">
        <v>1044</v>
      </c>
      <c r="P11" s="55" t="n">
        <v>1193</v>
      </c>
      <c r="Q11" s="55" t="n">
        <v>1283</v>
      </c>
      <c r="R11" s="55" t="n">
        <v>1582</v>
      </c>
      <c r="S11" s="55" t="n">
        <v>1731</v>
      </c>
      <c r="T11" s="72" t="n">
        <f aca="false">SUM(B11:S11)</f>
        <v>11096</v>
      </c>
    </row>
    <row r="12" customFormat="false" ht="15" hidden="false" customHeight="true" outlineLevel="0" collapsed="false">
      <c r="A12" s="41" t="s">
        <v>506</v>
      </c>
      <c r="B12" s="50" t="n">
        <f aca="false">MAX(0,ROUND(B10*0.025/12,0))</f>
        <v>13</v>
      </c>
      <c r="C12" s="50" t="n">
        <f aca="false">MAX(0,ROUND(C10*0.025/12,0))</f>
        <v>5</v>
      </c>
      <c r="D12" s="50" t="n">
        <f aca="false">MAX(0,ROUND(D10*0.025/12,0))</f>
        <v>142</v>
      </c>
      <c r="E12" s="50" t="n">
        <f aca="false">MAX(0,ROUND(E10*0.025/12,0))</f>
        <v>134</v>
      </c>
      <c r="F12" s="50" t="n">
        <f aca="false">MAX(0,ROUND(F10*0.025/12,0))</f>
        <v>125</v>
      </c>
      <c r="G12" s="50" t="n">
        <f aca="false">MAX(0,ROUND(G10*0.025/12,0))</f>
        <v>116</v>
      </c>
      <c r="H12" s="50" t="n">
        <f aca="false">MAX(0,ROUND(H10*0.025/12,0))</f>
        <v>105</v>
      </c>
      <c r="I12" s="50" t="n">
        <f aca="false">MAX(0,ROUND(I10*0.025/12,0))</f>
        <v>96</v>
      </c>
      <c r="J12" s="50" t="n">
        <f aca="false">MAX(0,ROUND(J10*0.025/12,0))</f>
        <v>89</v>
      </c>
      <c r="K12" s="50" t="n">
        <f aca="false">MAX(0,ROUND(K10*0.025/12,0))</f>
        <v>84</v>
      </c>
      <c r="L12" s="50" t="n">
        <f aca="false">MAX(0,ROUND(L10*0.025/12,0))</f>
        <v>71</v>
      </c>
      <c r="M12" s="50" t="n">
        <f aca="false">MAX(0,ROUND(M10*0.025/12,0))</f>
        <v>68</v>
      </c>
      <c r="N12" s="50" t="n">
        <f aca="false">MAX(0,ROUND(N10*0.025/12,0))</f>
        <v>69</v>
      </c>
      <c r="O12" s="50" t="n">
        <f aca="false">MAX(0,ROUND(O10*0.025/12,0))</f>
        <v>70</v>
      </c>
      <c r="P12" s="50" t="n">
        <f aca="false">MAX(0,ROUND(P10*0.025/12,0))</f>
        <v>74</v>
      </c>
      <c r="Q12" s="50" t="n">
        <f aca="false">MAX(0,ROUND(Q10*0.025/12,0))</f>
        <v>80</v>
      </c>
      <c r="R12" s="50" t="n">
        <f aca="false">MAX(0,ROUND(R10*0.025/12,0))</f>
        <v>91</v>
      </c>
      <c r="S12" s="50" t="n">
        <f aca="false">MAX(0,ROUND(S10*0.025/12,0))</f>
        <v>105</v>
      </c>
      <c r="T12" s="72" t="n">
        <f aca="false">SUM(B12:S12)</f>
        <v>1537</v>
      </c>
    </row>
    <row r="13" customFormat="false" ht="18" hidden="false" customHeight="true" outlineLevel="0" collapsed="false">
      <c r="A13" s="124" t="s">
        <v>507</v>
      </c>
      <c r="B13" s="46" t="n">
        <f aca="false">B10+B11+B12</f>
        <v>6080</v>
      </c>
      <c r="C13" s="46" t="n">
        <f aca="false">C10+C11+C12</f>
        <v>2189</v>
      </c>
      <c r="D13" s="46" t="n">
        <f aca="false">D10+D11+D12</f>
        <v>68526</v>
      </c>
      <c r="E13" s="46" t="n">
        <f aca="false">E10+E11+E12</f>
        <v>64713</v>
      </c>
      <c r="F13" s="46" t="n">
        <f aca="false">F10+F11+F12</f>
        <v>60334</v>
      </c>
      <c r="G13" s="46" t="n">
        <f aca="false">G10+G11+G12</f>
        <v>56122</v>
      </c>
      <c r="H13" s="46" t="n">
        <f aca="false">H10+H11+H12</f>
        <v>50983</v>
      </c>
      <c r="I13" s="46" t="n">
        <f aca="false">I10+I11+I12</f>
        <v>46403</v>
      </c>
      <c r="J13" s="46" t="n">
        <f aca="false">J10+J11+J12</f>
        <v>43027</v>
      </c>
      <c r="K13" s="46" t="n">
        <f aca="false">K10+K11+K12</f>
        <v>40713</v>
      </c>
      <c r="L13" s="46" t="n">
        <f aca="false">L10+L11+L12</f>
        <v>34759</v>
      </c>
      <c r="M13" s="46" t="n">
        <f aca="false">M10+M11+M12</f>
        <v>33277</v>
      </c>
      <c r="N13" s="46" t="n">
        <f aca="false">N10+N11+N12</f>
        <v>33955.53</v>
      </c>
      <c r="O13" s="46" t="n">
        <f aca="false">O10+O11+O12</f>
        <v>34550.539</v>
      </c>
      <c r="P13" s="46" t="n">
        <f aca="false">P10+P11+P12</f>
        <v>36575.687</v>
      </c>
      <c r="Q13" s="46" t="n">
        <f aca="false">Q10+Q11+Q12</f>
        <v>39749.921</v>
      </c>
      <c r="R13" s="46" t="n">
        <f aca="false">R10+R11+R12</f>
        <v>45182.998</v>
      </c>
      <c r="S13" s="46" t="n">
        <f aca="false">S10+S11+S12</f>
        <v>52065.473</v>
      </c>
      <c r="T13" s="125" t="n">
        <f aca="false">SUM(B13:S13)</f>
        <v>749206.148</v>
      </c>
    </row>
    <row r="14" customFormat="false" ht="21" hidden="false" customHeight="true" outlineLevel="0" collapsed="false">
      <c r="A14" s="164" t="s">
        <v>508</v>
      </c>
      <c r="B14" s="58" t="n">
        <f aca="false">B8+B13</f>
        <v>6080</v>
      </c>
      <c r="C14" s="58" t="n">
        <f aca="false">C8+C13</f>
        <v>2189</v>
      </c>
      <c r="D14" s="58" t="n">
        <f aca="false">D8+D13</f>
        <v>73326</v>
      </c>
      <c r="E14" s="58" t="n">
        <f aca="false">E8+E13</f>
        <v>69313</v>
      </c>
      <c r="F14" s="58" t="n">
        <f aca="false">F8+F13</f>
        <v>64734</v>
      </c>
      <c r="G14" s="58" t="n">
        <f aca="false">G8+G13</f>
        <v>60322</v>
      </c>
      <c r="H14" s="58" t="n">
        <f aca="false">H8+H13</f>
        <v>54983</v>
      </c>
      <c r="I14" s="58" t="n">
        <f aca="false">I8+I13</f>
        <v>50203</v>
      </c>
      <c r="J14" s="58" t="n">
        <f aca="false">J8+J13</f>
        <v>46627</v>
      </c>
      <c r="K14" s="58" t="n">
        <f aca="false">K8+K13</f>
        <v>44113</v>
      </c>
      <c r="L14" s="58" t="n">
        <f aca="false">L8+L13</f>
        <v>41559</v>
      </c>
      <c r="M14" s="58" t="n">
        <f aca="false">M8+M13</f>
        <v>39877</v>
      </c>
      <c r="N14" s="58" t="n">
        <f aca="false">N8+N13</f>
        <v>40355.53</v>
      </c>
      <c r="O14" s="58" t="n">
        <f aca="false">O8+O13</f>
        <v>40750.539</v>
      </c>
      <c r="P14" s="58" t="n">
        <f aca="false">P8+P13</f>
        <v>42575.687</v>
      </c>
      <c r="Q14" s="58" t="n">
        <f aca="false">Q8+Q13</f>
        <v>45549.921</v>
      </c>
      <c r="R14" s="58" t="n">
        <f aca="false">R8+R13</f>
        <v>50782.998</v>
      </c>
      <c r="S14" s="58" t="n">
        <f aca="false">S8+S13</f>
        <v>57465.473</v>
      </c>
      <c r="T14" s="58" t="n">
        <f aca="false">SUM(B14:S14)</f>
        <v>830806.148</v>
      </c>
    </row>
    <row r="15" customFormat="false" ht="4.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</row>
    <row r="16" customFormat="false" ht="16.5" hidden="false" customHeight="true" outlineLevel="0" collapsed="false">
      <c r="A16" s="151" t="s">
        <v>509</v>
      </c>
      <c r="B16" s="151"/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</row>
    <row r="17" customFormat="false" ht="16.5" hidden="false" customHeight="true" outlineLevel="0" collapsed="false">
      <c r="A17" s="6" t="s">
        <v>510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customFormat="false" ht="15" hidden="false" customHeight="true" outlineLevel="0" collapsed="false">
      <c r="A18" s="41" t="s">
        <v>511</v>
      </c>
      <c r="B18" s="147" t="n">
        <v>0</v>
      </c>
      <c r="C18" s="147" t="n">
        <v>0</v>
      </c>
      <c r="D18" s="147" t="n">
        <v>0</v>
      </c>
      <c r="E18" s="147" t="n">
        <v>0</v>
      </c>
      <c r="F18" s="147" t="n">
        <v>0</v>
      </c>
      <c r="G18" s="147" t="n">
        <v>0</v>
      </c>
      <c r="H18" s="147" t="n">
        <v>0</v>
      </c>
      <c r="I18" s="147" t="n">
        <v>0</v>
      </c>
      <c r="J18" s="147" t="n">
        <v>0</v>
      </c>
      <c r="K18" s="147" t="n">
        <v>0</v>
      </c>
      <c r="L18" s="147" t="n">
        <v>0</v>
      </c>
      <c r="M18" s="147" t="n">
        <v>0</v>
      </c>
      <c r="N18" s="147" t="n">
        <v>0</v>
      </c>
      <c r="O18" s="147" t="n">
        <v>0</v>
      </c>
      <c r="P18" s="147" t="n">
        <v>0</v>
      </c>
      <c r="Q18" s="147" t="n">
        <v>0</v>
      </c>
      <c r="R18" s="147" t="n">
        <v>0</v>
      </c>
      <c r="S18" s="147" t="n">
        <v>0</v>
      </c>
      <c r="T18" s="72" t="n">
        <f aca="false">SUM(B18:S18)</f>
        <v>0</v>
      </c>
    </row>
    <row r="19" customFormat="false" ht="16.5" hidden="false" customHeight="true" outlineLevel="0" collapsed="false">
      <c r="A19" s="6" t="s">
        <v>512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customFormat="false" ht="15" hidden="false" customHeight="true" outlineLevel="0" collapsed="false">
      <c r="A20" s="41" t="s">
        <v>513</v>
      </c>
      <c r="B20" s="55" t="n">
        <v>866</v>
      </c>
      <c r="C20" s="55" t="n">
        <v>881</v>
      </c>
      <c r="D20" s="55" t="n">
        <v>912</v>
      </c>
      <c r="E20" s="55" t="n">
        <v>1246</v>
      </c>
      <c r="F20" s="55" t="n">
        <v>1550</v>
      </c>
      <c r="G20" s="55" t="n">
        <v>1755</v>
      </c>
      <c r="H20" s="55" t="n">
        <v>2320</v>
      </c>
      <c r="I20" s="55" t="n">
        <v>2393</v>
      </c>
      <c r="J20" s="55" t="n">
        <v>2474</v>
      </c>
      <c r="K20" s="55" t="n">
        <v>2550</v>
      </c>
      <c r="L20" s="55" t="n">
        <v>2989</v>
      </c>
      <c r="M20" s="55" t="n">
        <v>3086</v>
      </c>
      <c r="N20" s="55" t="n">
        <v>3203</v>
      </c>
      <c r="O20" s="55" t="n">
        <v>3777</v>
      </c>
      <c r="P20" s="55" t="n">
        <v>3885</v>
      </c>
      <c r="Q20" s="55" t="n">
        <v>3980</v>
      </c>
      <c r="R20" s="55" t="n">
        <v>4077</v>
      </c>
      <c r="S20" s="55" t="n">
        <v>4170</v>
      </c>
      <c r="T20" s="72" t="n">
        <f aca="false">SUM(B20:S20)</f>
        <v>46114</v>
      </c>
    </row>
    <row r="21" customFormat="false" ht="15" hidden="false" customHeight="true" outlineLevel="0" collapsed="false">
      <c r="A21" s="41" t="s">
        <v>514</v>
      </c>
      <c r="B21" s="147" t="n">
        <v>0</v>
      </c>
      <c r="C21" s="147" t="n">
        <v>0</v>
      </c>
      <c r="D21" s="147" t="n">
        <v>0</v>
      </c>
      <c r="E21" s="147" t="n">
        <v>0</v>
      </c>
      <c r="F21" s="147" t="n">
        <v>0</v>
      </c>
      <c r="G21" s="147" t="n">
        <v>0</v>
      </c>
      <c r="H21" s="147" t="n">
        <v>0</v>
      </c>
      <c r="I21" s="147" t="n">
        <v>0</v>
      </c>
      <c r="J21" s="147" t="n">
        <v>0</v>
      </c>
      <c r="K21" s="147" t="n">
        <v>0</v>
      </c>
      <c r="L21" s="147" t="n">
        <v>0</v>
      </c>
      <c r="M21" s="147" t="n">
        <v>0</v>
      </c>
      <c r="N21" s="147" t="n">
        <v>0</v>
      </c>
      <c r="O21" s="147" t="n">
        <v>0</v>
      </c>
      <c r="P21" s="147" t="n">
        <v>0</v>
      </c>
      <c r="Q21" s="147" t="n">
        <v>0</v>
      </c>
      <c r="R21" s="147" t="n">
        <v>0</v>
      </c>
      <c r="S21" s="147" t="n">
        <v>0</v>
      </c>
      <c r="T21" s="72" t="n">
        <f aca="false">SUM(B21:S21)</f>
        <v>0</v>
      </c>
    </row>
    <row r="22" customFormat="false" ht="15" hidden="false" customHeight="true" outlineLevel="0" collapsed="false">
      <c r="A22" s="41" t="s">
        <v>515</v>
      </c>
      <c r="B22" s="55" t="n">
        <v>1750</v>
      </c>
      <c r="C22" s="55" t="n">
        <v>1750</v>
      </c>
      <c r="D22" s="55" t="n">
        <v>1750</v>
      </c>
      <c r="E22" s="55" t="n">
        <v>2500</v>
      </c>
      <c r="F22" s="55" t="n">
        <v>3100</v>
      </c>
      <c r="G22" s="55" t="n">
        <v>3450</v>
      </c>
      <c r="H22" s="55" t="n">
        <v>4700</v>
      </c>
      <c r="I22" s="55" t="n">
        <v>4700</v>
      </c>
      <c r="J22" s="55" t="n">
        <v>4700</v>
      </c>
      <c r="K22" s="55" t="n">
        <v>4700</v>
      </c>
      <c r="L22" s="55" t="n">
        <v>5550</v>
      </c>
      <c r="M22" s="55" t="n">
        <v>5550</v>
      </c>
      <c r="N22" s="55" t="n">
        <v>5550</v>
      </c>
      <c r="O22" s="55" t="n">
        <v>6750</v>
      </c>
      <c r="P22" s="55" t="n">
        <v>6750</v>
      </c>
      <c r="Q22" s="55" t="n">
        <v>6750</v>
      </c>
      <c r="R22" s="55" t="n">
        <v>6750</v>
      </c>
      <c r="S22" s="55" t="n">
        <v>6750</v>
      </c>
      <c r="T22" s="72" t="n">
        <f aca="false">SUM(B22:S22)</f>
        <v>83500</v>
      </c>
    </row>
    <row r="23" customFormat="false" ht="18" hidden="false" customHeight="true" outlineLevel="0" collapsed="false">
      <c r="A23" s="124" t="s">
        <v>516</v>
      </c>
      <c r="B23" s="46" t="n">
        <f aca="false">B20+B21+B22</f>
        <v>2616</v>
      </c>
      <c r="C23" s="46" t="n">
        <f aca="false">C20+C21+C22</f>
        <v>2631</v>
      </c>
      <c r="D23" s="46" t="n">
        <f aca="false">D20+D21+D22</f>
        <v>2662</v>
      </c>
      <c r="E23" s="46" t="n">
        <f aca="false">E20+E21+E22</f>
        <v>3746</v>
      </c>
      <c r="F23" s="46" t="n">
        <f aca="false">F20+F21+F22</f>
        <v>4650</v>
      </c>
      <c r="G23" s="46" t="n">
        <f aca="false">G20+G21+G22</f>
        <v>5205</v>
      </c>
      <c r="H23" s="46" t="n">
        <f aca="false">H20+H21+H22</f>
        <v>7020</v>
      </c>
      <c r="I23" s="46" t="n">
        <f aca="false">I20+I21+I22</f>
        <v>7093</v>
      </c>
      <c r="J23" s="46" t="n">
        <f aca="false">J20+J21+J22</f>
        <v>7174</v>
      </c>
      <c r="K23" s="46" t="n">
        <f aca="false">K20+K21+K22</f>
        <v>7250</v>
      </c>
      <c r="L23" s="46" t="n">
        <f aca="false">L20+L21+L22</f>
        <v>8539</v>
      </c>
      <c r="M23" s="46" t="n">
        <f aca="false">M20+M21+M22</f>
        <v>8636</v>
      </c>
      <c r="N23" s="46" t="n">
        <f aca="false">N20+N21+N22</f>
        <v>8753</v>
      </c>
      <c r="O23" s="46" t="n">
        <f aca="false">O20+O21+O22</f>
        <v>10527</v>
      </c>
      <c r="P23" s="46" t="n">
        <f aca="false">P20+P21+P22</f>
        <v>10635</v>
      </c>
      <c r="Q23" s="46" t="n">
        <f aca="false">Q20+Q21+Q22</f>
        <v>10730</v>
      </c>
      <c r="R23" s="46" t="n">
        <f aca="false">R20+R21+R22</f>
        <v>10827</v>
      </c>
      <c r="S23" s="46" t="n">
        <f aca="false">S20+S21+S22</f>
        <v>10920</v>
      </c>
      <c r="T23" s="125" t="n">
        <f aca="false">SUM(B23:S23)</f>
        <v>129614</v>
      </c>
    </row>
    <row r="24" customFormat="false" ht="21" hidden="false" customHeight="true" outlineLevel="0" collapsed="false">
      <c r="A24" s="165" t="s">
        <v>517</v>
      </c>
      <c r="B24" s="166" t="n">
        <f aca="false">B18+B23</f>
        <v>2616</v>
      </c>
      <c r="C24" s="166" t="n">
        <f aca="false">C18+C23</f>
        <v>2631</v>
      </c>
      <c r="D24" s="166" t="n">
        <f aca="false">D18+D23</f>
        <v>2662</v>
      </c>
      <c r="E24" s="166" t="n">
        <f aca="false">E18+E23</f>
        <v>3746</v>
      </c>
      <c r="F24" s="166" t="n">
        <f aca="false">F18+F23</f>
        <v>4650</v>
      </c>
      <c r="G24" s="166" t="n">
        <f aca="false">G18+G23</f>
        <v>5205</v>
      </c>
      <c r="H24" s="166" t="n">
        <f aca="false">H18+H23</f>
        <v>7020</v>
      </c>
      <c r="I24" s="166" t="n">
        <f aca="false">I18+I23</f>
        <v>7093</v>
      </c>
      <c r="J24" s="166" t="n">
        <f aca="false">J18+J23</f>
        <v>7174</v>
      </c>
      <c r="K24" s="166" t="n">
        <f aca="false">K18+K23</f>
        <v>7250</v>
      </c>
      <c r="L24" s="166" t="n">
        <f aca="false">L18+L23</f>
        <v>8539</v>
      </c>
      <c r="M24" s="166" t="n">
        <f aca="false">M18+M23</f>
        <v>8636</v>
      </c>
      <c r="N24" s="166" t="n">
        <f aca="false">N18+N23</f>
        <v>8753</v>
      </c>
      <c r="O24" s="166" t="n">
        <f aca="false">O18+O23</f>
        <v>10527</v>
      </c>
      <c r="P24" s="166" t="n">
        <f aca="false">P18+P23</f>
        <v>10635</v>
      </c>
      <c r="Q24" s="166" t="n">
        <f aca="false">Q18+Q23</f>
        <v>10730</v>
      </c>
      <c r="R24" s="166" t="n">
        <f aca="false">R18+R23</f>
        <v>10827</v>
      </c>
      <c r="S24" s="166" t="n">
        <f aca="false">S18+S23</f>
        <v>10920</v>
      </c>
      <c r="T24" s="167" t="n">
        <f aca="false">SUM(B24:S24)</f>
        <v>129614</v>
      </c>
    </row>
    <row r="25" customFormat="false" ht="4.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customFormat="false" ht="16.5" hidden="false" customHeight="true" outlineLevel="0" collapsed="false">
      <c r="A26" s="151" t="s">
        <v>518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</row>
    <row r="27" customFormat="false" ht="15" hidden="false" customHeight="true" outlineLevel="0" collapsed="false">
      <c r="A27" s="41" t="s">
        <v>519</v>
      </c>
      <c r="B27" s="55" t="n">
        <v>10001</v>
      </c>
      <c r="C27" s="55" t="n">
        <v>1</v>
      </c>
      <c r="D27" s="55" t="n">
        <v>75001</v>
      </c>
      <c r="E27" s="55" t="n">
        <v>75001</v>
      </c>
      <c r="F27" s="55" t="n">
        <v>75001</v>
      </c>
      <c r="G27" s="55" t="n">
        <v>75001</v>
      </c>
      <c r="H27" s="55" t="n">
        <v>75001</v>
      </c>
      <c r="I27" s="55" t="n">
        <v>75001</v>
      </c>
      <c r="J27" s="55" t="n">
        <v>75001</v>
      </c>
      <c r="K27" s="55" t="n">
        <v>75001</v>
      </c>
      <c r="L27" s="55" t="n">
        <v>75001</v>
      </c>
      <c r="M27" s="55" t="n">
        <v>75001</v>
      </c>
      <c r="N27" s="55" t="n">
        <v>75001</v>
      </c>
      <c r="O27" s="55" t="n">
        <v>75001</v>
      </c>
      <c r="P27" s="55" t="n">
        <v>75001</v>
      </c>
      <c r="Q27" s="55" t="n">
        <v>75001</v>
      </c>
      <c r="R27" s="55" t="n">
        <v>75001</v>
      </c>
      <c r="S27" s="55" t="n">
        <v>75001</v>
      </c>
      <c r="T27" s="72" t="n">
        <f aca="false">SUM(B27:S27)</f>
        <v>1210018</v>
      </c>
    </row>
    <row r="28" customFormat="false" ht="15" hidden="false" customHeight="true" outlineLevel="0" collapsed="false">
      <c r="A28" s="90" t="s">
        <v>520</v>
      </c>
      <c r="B28" s="91" t="n">
        <v>0</v>
      </c>
      <c r="C28" s="91" t="n">
        <f aca="false">MASTER!B30</f>
        <v>-4133</v>
      </c>
      <c r="D28" s="91" t="n">
        <f aca="false">MASTER!B30+MASTER!C30</f>
        <v>-8184</v>
      </c>
      <c r="E28" s="91" t="n">
        <f aca="false">MASTER!B30+MASTER!C30+MASTER!D30</f>
        <v>-11688</v>
      </c>
      <c r="F28" s="91" t="n">
        <f aca="false">MASTER!B30+MASTER!C30+MASTER!D30+MASTER!E30</f>
        <v>-15869</v>
      </c>
      <c r="G28" s="91" t="n">
        <f aca="false">MASTER!B30+MASTER!C30+MASTER!D30+MASTER!E30+MASTER!F30</f>
        <v>-20586</v>
      </c>
      <c r="H28" s="91" t="n">
        <f aca="false">MASTER!B30+MASTER!C30+MASTER!D30+MASTER!E30+MASTER!F30+MASTER!G30</f>
        <v>-25025</v>
      </c>
      <c r="I28" s="91" t="n">
        <f aca="false">MASTER!B30+MASTER!C30+MASTER!D30+MASTER!E30+MASTER!F30+MASTER!G30+MASTER!H30</f>
        <v>-30717</v>
      </c>
      <c r="J28" s="91" t="n">
        <f aca="false">MASTER!B30+MASTER!C30+MASTER!D30+MASTER!E30+MASTER!F30+MASTER!G30+MASTER!H30+MASTER!I30</f>
        <v>-35342</v>
      </c>
      <c r="K28" s="91" t="n">
        <f aca="false">MASTER!B30+MASTER!C30+MASTER!D30+MASTER!E30+MASTER!F30+MASTER!G30+MASTER!H30+MASTER!I30+MASTER!J30</f>
        <v>-38772</v>
      </c>
      <c r="L28" s="91" t="n">
        <f aca="false">MASTER!B30+MASTER!C30+MASTER!D30+MASTER!E30+MASTER!F30+MASTER!G30+MASTER!H30+MASTER!I30+MASTER!J30+MASTER!K30</f>
        <v>-41132</v>
      </c>
      <c r="M28" s="91" t="n">
        <f aca="false">MASTER!B30+MASTER!C30+MASTER!D30+MASTER!E30+MASTER!F30+MASTER!G30+MASTER!H30+MASTER!I30+MASTER!J30+MASTER!K30+MASTER!L30</f>
        <v>-43802</v>
      </c>
      <c r="N28" s="91" t="n">
        <f aca="false">MASTER!B30+MASTER!C30+MASTER!D30+MASTER!E30+MASTER!F30+MASTER!G30+MASTER!H30+MASTER!I30+MASTER!J30+MASTER!K30+MASTER!L30+MASTER!M30</f>
        <v>-45271</v>
      </c>
      <c r="O28" s="91" t="n">
        <f aca="false">MASTER!B30+MASTER!C30+MASTER!D30+MASTER!E30+MASTER!F30+MASTER!G30+MASTER!H30+MASTER!I30+MASTER!J30+MASTER!K30+MASTER!L30+MASTER!M30+MASTER!N30</f>
        <v>-44600.47</v>
      </c>
      <c r="P28" s="91" t="n">
        <f aca="false">MASTER!B30+MASTER!C30+MASTER!D30+MASTER!E30+MASTER!F30+MASTER!G30+MASTER!H30+MASTER!I30+MASTER!J30+MASTER!K30+MASTER!L30+MASTER!M30+MASTER!N30+MASTER!O30</f>
        <v>-44507.461</v>
      </c>
      <c r="Q28" s="91" t="n">
        <f aca="false">MASTER!B30+MASTER!C30+MASTER!D30+MASTER!E30+MASTER!F30+MASTER!G30+MASTER!H30+MASTER!I30+MASTER!J30+MASTER!K30+MASTER!L30+MASTER!M30+MASTER!N30+MASTER!O30+MASTER!P30</f>
        <v>-42497.313</v>
      </c>
      <c r="R28" s="91" t="n">
        <f aca="false">MASTER!B30+MASTER!C30+MASTER!D30+MASTER!E30+MASTER!F30+MASTER!G30+MASTER!H30+MASTER!I30+MASTER!J30+MASTER!K30+MASTER!L30+MASTER!M30+MASTER!N30+MASTER!O30+MASTER!P30+MASTER!Q30</f>
        <v>-39358.079</v>
      </c>
      <c r="S28" s="91" t="n">
        <f aca="false">MASTER!B30+MASTER!C30+MASTER!D30+MASTER!E30+MASTER!F30+MASTER!G30+MASTER!H30+MASTER!I30+MASTER!J30+MASTER!K30+MASTER!L30+MASTER!M30+MASTER!N30+MASTER!O30+MASTER!P30+MASTER!Q30+MASTER!R30</f>
        <v>-33996.002</v>
      </c>
      <c r="T28" s="72" t="n">
        <f aca="false">SUM(B28:S28)</f>
        <v>-525480.325</v>
      </c>
    </row>
    <row r="29" customFormat="false" ht="15" hidden="false" customHeight="true" outlineLevel="0" collapsed="false">
      <c r="A29" s="41" t="s">
        <v>521</v>
      </c>
      <c r="B29" s="50" t="n">
        <f aca="false">MASTER!B30</f>
        <v>-4133</v>
      </c>
      <c r="C29" s="50" t="n">
        <f aca="false">MASTER!C30</f>
        <v>-4051</v>
      </c>
      <c r="D29" s="50" t="n">
        <f aca="false">MASTER!D30</f>
        <v>-3504</v>
      </c>
      <c r="E29" s="50" t="n">
        <f aca="false">MASTER!E30</f>
        <v>-4181</v>
      </c>
      <c r="F29" s="50" t="n">
        <f aca="false">MASTER!F30</f>
        <v>-4717</v>
      </c>
      <c r="G29" s="50" t="n">
        <f aca="false">MASTER!G30</f>
        <v>-4439</v>
      </c>
      <c r="H29" s="50" t="n">
        <f aca="false">MASTER!H30</f>
        <v>-5692</v>
      </c>
      <c r="I29" s="50" t="n">
        <f aca="false">MASTER!I30</f>
        <v>-4625</v>
      </c>
      <c r="J29" s="50" t="n">
        <f aca="false">MASTER!J30</f>
        <v>-3430</v>
      </c>
      <c r="K29" s="50" t="n">
        <f aca="false">MASTER!K30</f>
        <v>-2360</v>
      </c>
      <c r="L29" s="50" t="n">
        <f aca="false">MASTER!L30</f>
        <v>-2670</v>
      </c>
      <c r="M29" s="50" t="n">
        <f aca="false">MASTER!M30</f>
        <v>-1469</v>
      </c>
      <c r="N29" s="50" t="n">
        <f aca="false">MASTER!N30</f>
        <v>670.53</v>
      </c>
      <c r="O29" s="50" t="n">
        <f aca="false">MASTER!O30</f>
        <v>93.009</v>
      </c>
      <c r="P29" s="50" t="n">
        <f aca="false">MASTER!P30</f>
        <v>2010.148</v>
      </c>
      <c r="Q29" s="50" t="n">
        <f aca="false">MASTER!Q30</f>
        <v>3139.234</v>
      </c>
      <c r="R29" s="50" t="n">
        <f aca="false">MASTER!R30</f>
        <v>5362.077</v>
      </c>
      <c r="S29" s="50" t="n">
        <f aca="false">MASTER!S30</f>
        <v>6831.475</v>
      </c>
      <c r="T29" s="72" t="n">
        <f aca="false">SUM(B29:S29)</f>
        <v>-27164.527</v>
      </c>
    </row>
    <row r="30" customFormat="false" ht="21" hidden="false" customHeight="true" outlineLevel="0" collapsed="false">
      <c r="A30" s="137" t="s">
        <v>522</v>
      </c>
      <c r="B30" s="168" t="n">
        <f aca="false">B27+B28+B29</f>
        <v>5868</v>
      </c>
      <c r="C30" s="168" t="n">
        <f aca="false">C27+C28+C29</f>
        <v>-8183</v>
      </c>
      <c r="D30" s="168" t="n">
        <f aca="false">D27+D28+D29</f>
        <v>63313</v>
      </c>
      <c r="E30" s="168" t="n">
        <f aca="false">E27+E28+E29</f>
        <v>59132</v>
      </c>
      <c r="F30" s="168" t="n">
        <f aca="false">F27+F28+F29</f>
        <v>54415</v>
      </c>
      <c r="G30" s="168" t="n">
        <f aca="false">G27+G28+G29</f>
        <v>49976</v>
      </c>
      <c r="H30" s="168" t="n">
        <f aca="false">H27+H28+H29</f>
        <v>44284</v>
      </c>
      <c r="I30" s="168" t="n">
        <f aca="false">I27+I28+I29</f>
        <v>39659</v>
      </c>
      <c r="J30" s="168" t="n">
        <f aca="false">J27+J28+J29</f>
        <v>36229</v>
      </c>
      <c r="K30" s="168" t="n">
        <f aca="false">K27+K28+K29</f>
        <v>33869</v>
      </c>
      <c r="L30" s="168" t="n">
        <f aca="false">L27+L28+L29</f>
        <v>31199</v>
      </c>
      <c r="M30" s="168" t="n">
        <f aca="false">M27+M28+M29</f>
        <v>29730</v>
      </c>
      <c r="N30" s="168" t="n">
        <f aca="false">N27+N28+N29</f>
        <v>30400.53</v>
      </c>
      <c r="O30" s="168" t="n">
        <f aca="false">O27+O28+O29</f>
        <v>30493.539</v>
      </c>
      <c r="P30" s="168" t="n">
        <f aca="false">P27+P28+P29</f>
        <v>32503.687</v>
      </c>
      <c r="Q30" s="168" t="n">
        <f aca="false">Q27+Q28+Q29</f>
        <v>35642.921</v>
      </c>
      <c r="R30" s="168" t="n">
        <f aca="false">R27+R28+R29</f>
        <v>41004.998</v>
      </c>
      <c r="S30" s="168" t="n">
        <f aca="false">S27+S28+S29</f>
        <v>47836.473</v>
      </c>
      <c r="T30" s="169" t="n">
        <f aca="false">SUM(B30:S30)</f>
        <v>657373.148</v>
      </c>
    </row>
    <row r="31" customFormat="false" ht="4.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customFormat="false" ht="16.5" hidden="false" customHeight="true" outlineLevel="0" collapsed="false">
      <c r="A32" s="6" t="s">
        <v>523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customFormat="false" ht="15" hidden="false" customHeight="true" outlineLevel="0" collapsed="false">
      <c r="A33" s="41" t="s">
        <v>524</v>
      </c>
      <c r="B33" s="50" t="n">
        <f aca="false">B14-B24-B30</f>
        <v>-2404</v>
      </c>
      <c r="C33" s="50" t="n">
        <f aca="false">C14-C24-C30</f>
        <v>7741</v>
      </c>
      <c r="D33" s="50" t="n">
        <f aca="false">D14-D24-D30</f>
        <v>7351</v>
      </c>
      <c r="E33" s="50" t="n">
        <f aca="false">E14-E24-E30</f>
        <v>6435</v>
      </c>
      <c r="F33" s="50" t="n">
        <f aca="false">F14-F24-F30</f>
        <v>5669</v>
      </c>
      <c r="G33" s="50" t="n">
        <f aca="false">G14-G24-G30</f>
        <v>5141</v>
      </c>
      <c r="H33" s="50" t="n">
        <f aca="false">H14-H24-H30</f>
        <v>3679</v>
      </c>
      <c r="I33" s="50" t="n">
        <f aca="false">I14-I24-I30</f>
        <v>3451</v>
      </c>
      <c r="J33" s="50" t="n">
        <f aca="false">J14-J24-J30</f>
        <v>3224</v>
      </c>
      <c r="K33" s="50" t="n">
        <f aca="false">K14-K24-K30</f>
        <v>2994</v>
      </c>
      <c r="L33" s="50" t="n">
        <f aca="false">L14-L24-L30</f>
        <v>1821</v>
      </c>
      <c r="M33" s="50" t="n">
        <f aca="false">M14-M24-M30</f>
        <v>1511</v>
      </c>
      <c r="N33" s="50" t="n">
        <f aca="false">N14-N24-N30</f>
        <v>1202</v>
      </c>
      <c r="O33" s="50" t="n">
        <f aca="false">O14-O24-O30</f>
        <v>-270</v>
      </c>
      <c r="P33" s="50" t="n">
        <f aca="false">P14-P24-P30</f>
        <v>-563</v>
      </c>
      <c r="Q33" s="50" t="n">
        <f aca="false">Q14-Q24-Q30</f>
        <v>-823</v>
      </c>
      <c r="R33" s="50" t="n">
        <f aca="false">R14-R24-R30</f>
        <v>-1049</v>
      </c>
      <c r="S33" s="50" t="n">
        <f aca="false">S14-S24-S30</f>
        <v>-1291</v>
      </c>
      <c r="T33" s="72" t="n">
        <f aca="false">SUM(B33:S33)</f>
        <v>43819</v>
      </c>
    </row>
    <row r="34" customFormat="false" ht="15" hidden="false" customHeight="true" outlineLevel="0" collapsed="false">
      <c r="A34" s="90" t="s">
        <v>525</v>
      </c>
      <c r="B34" s="126" t="str">
        <f aca="false">IF(ABS(B33)&lt;15000,"✅ OK","⚠️ RIVEDI")</f>
        <v>✅ OK</v>
      </c>
      <c r="C34" s="126" t="str">
        <f aca="false">IF(ABS(C33)&lt;15000,"✅ OK","⚠️ RIVEDI")</f>
        <v>✅ OK</v>
      </c>
      <c r="D34" s="126" t="str">
        <f aca="false">IF(ABS(D33)&lt;15000,"✅ OK","⚠️ RIVEDI")</f>
        <v>✅ OK</v>
      </c>
      <c r="E34" s="126" t="str">
        <f aca="false">IF(ABS(E33)&lt;15000,"✅ OK","⚠️ RIVEDI")</f>
        <v>✅ OK</v>
      </c>
      <c r="F34" s="126" t="str">
        <f aca="false">IF(ABS(F33)&lt;15000,"✅ OK","⚠️ RIVEDI")</f>
        <v>✅ OK</v>
      </c>
      <c r="G34" s="126" t="str">
        <f aca="false">IF(ABS(G33)&lt;15000,"✅ OK","⚠️ RIVEDI")</f>
        <v>✅ OK</v>
      </c>
      <c r="H34" s="126" t="str">
        <f aca="false">IF(ABS(H33)&lt;15000,"✅ OK","⚠️ RIVEDI")</f>
        <v>✅ OK</v>
      </c>
      <c r="I34" s="126" t="str">
        <f aca="false">IF(ABS(I33)&lt;15000,"✅ OK","⚠️ RIVEDI")</f>
        <v>✅ OK</v>
      </c>
      <c r="J34" s="126" t="str">
        <f aca="false">IF(ABS(J33)&lt;15000,"✅ OK","⚠️ RIVEDI")</f>
        <v>✅ OK</v>
      </c>
      <c r="K34" s="126" t="str">
        <f aca="false">IF(ABS(K33)&lt;15000,"✅ OK","⚠️ RIVEDI")</f>
        <v>✅ OK</v>
      </c>
      <c r="L34" s="126" t="str">
        <f aca="false">IF(ABS(L33)&lt;15000,"✅ OK","⚠️ RIVEDI")</f>
        <v>✅ OK</v>
      </c>
      <c r="M34" s="126" t="str">
        <f aca="false">IF(ABS(M33)&lt;15000,"✅ OK","⚠️ RIVEDI")</f>
        <v>✅ OK</v>
      </c>
      <c r="N34" s="126" t="str">
        <f aca="false">IF(ABS(N33)&lt;15000,"✅ OK","⚠️ RIVEDI")</f>
        <v>✅ OK</v>
      </c>
      <c r="O34" s="126" t="str">
        <f aca="false">IF(ABS(O33)&lt;15000,"✅ OK","⚠️ RIVEDI")</f>
        <v>✅ OK</v>
      </c>
      <c r="P34" s="126" t="str">
        <f aca="false">IF(ABS(P33)&lt;15000,"✅ OK","⚠️ RIVEDI")</f>
        <v>✅ OK</v>
      </c>
      <c r="Q34" s="126" t="str">
        <f aca="false">IF(ABS(Q33)&lt;15000,"✅ OK","⚠️ RIVEDI")</f>
        <v>✅ OK</v>
      </c>
      <c r="R34" s="126" t="str">
        <f aca="false">IF(ABS(R33)&lt;15000,"✅ OK","⚠️ RIVEDI")</f>
        <v>✅ OK</v>
      </c>
      <c r="S34" s="126" t="str">
        <f aca="false">IF(ABS(S33)&lt;15000,"✅ OK","⚠️ RIVEDI")</f>
        <v>✅ OK</v>
      </c>
      <c r="T34" s="127" t="s">
        <v>526</v>
      </c>
    </row>
    <row r="35" customFormat="false" ht="30" hidden="false" customHeight="true" outlineLevel="0" collapsed="false">
      <c r="A35" s="170" t="s">
        <v>527</v>
      </c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</row>
  </sheetData>
  <mergeCells count="14">
    <mergeCell ref="A1:T1"/>
    <mergeCell ref="A2:T2"/>
    <mergeCell ref="A4:T4"/>
    <mergeCell ref="A5:T5"/>
    <mergeCell ref="A9:T9"/>
    <mergeCell ref="A15:T15"/>
    <mergeCell ref="A16:T16"/>
    <mergeCell ref="A17:T17"/>
    <mergeCell ref="A19:T19"/>
    <mergeCell ref="A25:T25"/>
    <mergeCell ref="A26:T26"/>
    <mergeCell ref="A31:T31"/>
    <mergeCell ref="A32:T32"/>
    <mergeCell ref="A35:T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2026-03-17T17:05:55Z</dcterms:created>
  <dc:creator>openpyxl</dc:creator>
  <dc:description/>
  <dc:language>en-US</dc:language>
  <cp:lastModifiedBy/>
  <dcterms:modified xsi:type="dcterms:W3CDTF">2026-03-20T05:14:03Z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